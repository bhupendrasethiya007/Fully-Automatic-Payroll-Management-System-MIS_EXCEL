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tabRatio="635" activeTab="2"/>
  </bookViews>
  <sheets>
    <sheet name="Attendance_Sheet" sheetId="22" r:id="rId1"/>
    <sheet name="Salary_Sheet" sheetId="24" r:id="rId2"/>
    <sheet name="Salary_Slip" sheetId="25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25" l="1"/>
  <c r="D9" i="25" l="1"/>
  <c r="D10" i="25"/>
  <c r="D16" i="25"/>
  <c r="D17" i="25"/>
  <c r="D18" i="25"/>
  <c r="F10" i="25"/>
  <c r="F15" i="25"/>
  <c r="F17" i="25"/>
  <c r="F18" i="25"/>
  <c r="E12" i="25" l="1"/>
  <c r="P5" i="24"/>
  <c r="A5" i="24" l="1"/>
  <c r="B5" i="24" s="1"/>
  <c r="A6" i="24"/>
  <c r="A7" i="24"/>
  <c r="A8" i="24"/>
  <c r="A9" i="24"/>
  <c r="B9" i="24" s="1"/>
  <c r="A10" i="24"/>
  <c r="A11" i="24"/>
  <c r="A12" i="24"/>
  <c r="B12" i="24" s="1"/>
  <c r="A13" i="24"/>
  <c r="A14" i="24"/>
  <c r="A15" i="24"/>
  <c r="A16" i="24"/>
  <c r="B16" i="24" s="1"/>
  <c r="A17" i="24"/>
  <c r="B6" i="24"/>
  <c r="B8" i="24"/>
  <c r="B10" i="24"/>
  <c r="B13" i="24"/>
  <c r="B14" i="24"/>
  <c r="B17" i="24" l="1"/>
  <c r="B15" i="24"/>
  <c r="B11" i="24"/>
  <c r="B7" i="24"/>
  <c r="I6" i="24" l="1"/>
  <c r="I7" i="24"/>
  <c r="I8" i="24"/>
  <c r="I9" i="24"/>
  <c r="I10" i="24"/>
  <c r="I11" i="24"/>
  <c r="I12" i="24"/>
  <c r="I13" i="24"/>
  <c r="I14" i="24"/>
  <c r="I15" i="24"/>
  <c r="I16" i="24"/>
  <c r="I17" i="24"/>
  <c r="I5" i="24"/>
  <c r="P6" i="24"/>
  <c r="P7" i="24"/>
  <c r="P8" i="24"/>
  <c r="P9" i="24"/>
  <c r="P10" i="24"/>
  <c r="P11" i="24"/>
  <c r="P12" i="24"/>
  <c r="P13" i="24"/>
  <c r="P14" i="24"/>
  <c r="P15" i="24"/>
  <c r="P16" i="24"/>
  <c r="P17" i="24"/>
  <c r="A1" i="24"/>
  <c r="K6" i="24"/>
  <c r="K7" i="24"/>
  <c r="K8" i="24"/>
  <c r="K9" i="24"/>
  <c r="K10" i="24"/>
  <c r="K11" i="24"/>
  <c r="K12" i="24"/>
  <c r="K13" i="24"/>
  <c r="K14" i="24"/>
  <c r="K15" i="24"/>
  <c r="K16" i="24"/>
  <c r="K17" i="24"/>
  <c r="K5" i="24"/>
  <c r="AN21" i="22" l="1"/>
  <c r="AL21" i="22"/>
  <c r="AK21" i="22"/>
  <c r="AN20" i="22"/>
  <c r="AL20" i="22"/>
  <c r="AK20" i="22"/>
  <c r="AN19" i="22"/>
  <c r="AL19" i="22"/>
  <c r="AK19" i="22"/>
  <c r="AN18" i="22"/>
  <c r="AL18" i="22"/>
  <c r="AK18" i="22"/>
  <c r="AN17" i="22"/>
  <c r="AL17" i="22"/>
  <c r="AK17" i="22"/>
  <c r="AN16" i="22"/>
  <c r="AL16" i="22"/>
  <c r="AK16" i="22"/>
  <c r="AN15" i="22"/>
  <c r="AL15" i="22"/>
  <c r="AK15" i="22"/>
  <c r="AN14" i="22"/>
  <c r="AL14" i="22"/>
  <c r="AK14" i="22"/>
  <c r="AN13" i="22"/>
  <c r="AL13" i="22"/>
  <c r="AK13" i="22"/>
  <c r="AN12" i="22"/>
  <c r="AL12" i="22"/>
  <c r="AK12" i="22"/>
  <c r="AN11" i="22"/>
  <c r="AL11" i="22"/>
  <c r="AK11" i="22"/>
  <c r="AN10" i="22"/>
  <c r="AL10" i="22"/>
  <c r="AK10" i="22"/>
  <c r="AN9" i="22"/>
  <c r="AL9" i="22"/>
  <c r="AK9" i="22"/>
  <c r="C5" i="22"/>
  <c r="E6" i="22" s="1"/>
  <c r="E3" i="22"/>
  <c r="E7" i="22" l="1"/>
  <c r="D5" i="22"/>
  <c r="F6" i="22" s="1"/>
  <c r="F7" i="22" l="1"/>
  <c r="G6" i="22"/>
  <c r="G7" i="22" l="1"/>
  <c r="H6" i="22"/>
  <c r="I6" i="22" l="1"/>
  <c r="H7" i="22"/>
  <c r="J6" i="22" l="1"/>
  <c r="I7" i="22"/>
  <c r="J7" i="22" l="1"/>
  <c r="K6" i="22"/>
  <c r="K7" i="22" l="1"/>
  <c r="L6" i="22"/>
  <c r="M6" i="22" l="1"/>
  <c r="L7" i="22"/>
  <c r="N6" i="22" l="1"/>
  <c r="M7" i="22"/>
  <c r="N7" i="22" l="1"/>
  <c r="O6" i="22"/>
  <c r="O7" i="22" l="1"/>
  <c r="P6" i="22"/>
  <c r="Q6" i="22" l="1"/>
  <c r="P7" i="22"/>
  <c r="R6" i="22" l="1"/>
  <c r="Q7" i="22"/>
  <c r="R7" i="22" l="1"/>
  <c r="S6" i="22"/>
  <c r="S7" i="22" l="1"/>
  <c r="T6" i="22"/>
  <c r="U6" i="22" l="1"/>
  <c r="T7" i="22"/>
  <c r="V6" i="22" l="1"/>
  <c r="U7" i="22"/>
  <c r="V7" i="22" l="1"/>
  <c r="W6" i="22"/>
  <c r="W7" i="22" l="1"/>
  <c r="X6" i="22"/>
  <c r="Y6" i="22" l="1"/>
  <c r="X7" i="22"/>
  <c r="Z6" i="22" l="1"/>
  <c r="Y7" i="22"/>
  <c r="Z7" i="22" l="1"/>
  <c r="AA6" i="22"/>
  <c r="AB6" i="22" s="1"/>
  <c r="AA7" i="22" l="1"/>
  <c r="AC6" i="22" l="1"/>
  <c r="AB7" i="22"/>
  <c r="AD6" i="22" l="1"/>
  <c r="AC7" i="22"/>
  <c r="AD7" i="22" l="1"/>
  <c r="AE6" i="22"/>
  <c r="AE7" i="22" l="1"/>
  <c r="AF6" i="22"/>
  <c r="AG6" i="22" l="1"/>
  <c r="AH6" i="22" s="1"/>
  <c r="AF7" i="22"/>
  <c r="AG7" i="22" l="1"/>
  <c r="AI6" i="22" l="1"/>
  <c r="AH7" i="22"/>
  <c r="AI7" i="22" l="1"/>
  <c r="AJ19" i="22"/>
  <c r="AJ15" i="22"/>
  <c r="AJ21" i="22"/>
  <c r="AJ18" i="22"/>
  <c r="AJ13" i="22"/>
  <c r="AJ12" i="22"/>
  <c r="AJ14" i="22"/>
  <c r="AJ9" i="22"/>
  <c r="AJ16" i="22"/>
  <c r="AJ20" i="22"/>
  <c r="AJ17" i="22"/>
  <c r="AJ11" i="22"/>
  <c r="AJ10" i="22"/>
  <c r="E17" i="24" l="1"/>
  <c r="G17" i="24" s="1"/>
  <c r="N17" i="24" s="1"/>
  <c r="E5" i="24"/>
  <c r="F8" i="25" s="1"/>
  <c r="E13" i="24"/>
  <c r="G13" i="24" s="1"/>
  <c r="N13" i="24" s="1"/>
  <c r="E10" i="24"/>
  <c r="G10" i="24" s="1"/>
  <c r="N10" i="24" s="1"/>
  <c r="E16" i="24"/>
  <c r="G16" i="24" s="1"/>
  <c r="N16" i="24" s="1"/>
  <c r="E8" i="24"/>
  <c r="G8" i="24" s="1"/>
  <c r="N8" i="24" s="1"/>
  <c r="E11" i="24"/>
  <c r="G11" i="24" s="1"/>
  <c r="N11" i="24" s="1"/>
  <c r="E7" i="24"/>
  <c r="G7" i="24" s="1"/>
  <c r="N7" i="24" s="1"/>
  <c r="E6" i="24"/>
  <c r="G6" i="24" s="1"/>
  <c r="N6" i="24" s="1"/>
  <c r="E12" i="24"/>
  <c r="G12" i="24" s="1"/>
  <c r="N12" i="24" s="1"/>
  <c r="E9" i="24"/>
  <c r="G9" i="24" s="1"/>
  <c r="N9" i="24" s="1"/>
  <c r="E15" i="24"/>
  <c r="G15" i="24" s="1"/>
  <c r="N15" i="24" s="1"/>
  <c r="E14" i="24"/>
  <c r="G14" i="24" s="1"/>
  <c r="N14" i="24" s="1"/>
  <c r="AM20" i="22"/>
  <c r="AM18" i="22"/>
  <c r="AM19" i="22"/>
  <c r="AM11" i="22"/>
  <c r="AM14" i="22"/>
  <c r="AM17" i="22"/>
  <c r="AM15" i="22"/>
  <c r="AM13" i="22"/>
  <c r="AM21" i="22"/>
  <c r="AM10" i="22"/>
  <c r="AM12" i="22"/>
  <c r="AM9" i="22"/>
  <c r="F5" i="24" s="1"/>
  <c r="F9" i="25" s="1"/>
  <c r="AM16" i="22"/>
  <c r="F8" i="24" l="1"/>
  <c r="H8" i="24" s="1"/>
  <c r="O8" i="24" s="1"/>
  <c r="Q8" i="24" s="1"/>
  <c r="R8" i="24" s="1"/>
  <c r="F6" i="24"/>
  <c r="H6" i="24" s="1"/>
  <c r="F13" i="24"/>
  <c r="H13" i="24" s="1"/>
  <c r="O13" i="24" s="1"/>
  <c r="Q13" i="24" s="1"/>
  <c r="R13" i="24" s="1"/>
  <c r="F14" i="24"/>
  <c r="H14" i="24" s="1"/>
  <c r="G5" i="24"/>
  <c r="N5" i="24" s="1"/>
  <c r="D19" i="25" s="1"/>
  <c r="F12" i="24"/>
  <c r="H12" i="24" s="1"/>
  <c r="O12" i="24" s="1"/>
  <c r="Q12" i="24" s="1"/>
  <c r="R12" i="24" s="1"/>
  <c r="F17" i="24"/>
  <c r="H17" i="24" s="1"/>
  <c r="O17" i="24" s="1"/>
  <c r="Q17" i="24" s="1"/>
  <c r="R17" i="24" s="1"/>
  <c r="F10" i="24"/>
  <c r="H10" i="24" s="1"/>
  <c r="O10" i="24" s="1"/>
  <c r="Q10" i="24" s="1"/>
  <c r="R10" i="24" s="1"/>
  <c r="F16" i="24"/>
  <c r="H16" i="24" s="1"/>
  <c r="O16" i="24" s="1"/>
  <c r="Q16" i="24" s="1"/>
  <c r="R16" i="24" s="1"/>
  <c r="F9" i="24"/>
  <c r="H9" i="24" s="1"/>
  <c r="O9" i="24" s="1"/>
  <c r="Q9" i="24" s="1"/>
  <c r="R9" i="24" s="1"/>
  <c r="F7" i="24"/>
  <c r="H7" i="24" s="1"/>
  <c r="O7" i="24" s="1"/>
  <c r="Q7" i="24" s="1"/>
  <c r="R7" i="24" s="1"/>
  <c r="F11" i="24"/>
  <c r="H11" i="24" s="1"/>
  <c r="F15" i="24"/>
  <c r="H15" i="24" s="1"/>
  <c r="H5" i="24" l="1"/>
  <c r="D15" i="25" s="1"/>
  <c r="D20" i="25" s="1"/>
  <c r="O15" i="24"/>
  <c r="Q15" i="24" s="1"/>
  <c r="R15" i="24" s="1"/>
  <c r="O14" i="24"/>
  <c r="Q14" i="24" s="1"/>
  <c r="R14" i="24" s="1"/>
  <c r="O11" i="24"/>
  <c r="Q11" i="24" s="1"/>
  <c r="R11" i="24" s="1"/>
  <c r="O6" i="24"/>
  <c r="Q6" i="24" s="1"/>
  <c r="R6" i="24" s="1"/>
  <c r="O5" i="24" l="1"/>
  <c r="Q5" i="24" s="1"/>
  <c r="F16" i="25" s="1"/>
  <c r="F20" i="25" s="1"/>
  <c r="E22" i="25" s="1"/>
  <c r="R5" i="24" l="1"/>
</calcChain>
</file>

<file path=xl/comments1.xml><?xml version="1.0" encoding="utf-8"?>
<comments xmlns="http://schemas.openxmlformats.org/spreadsheetml/2006/main">
  <authors>
    <author>Author</author>
  </authors>
  <commentList>
    <comment ref="I4" authorId="0" shapeId="0">
      <text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DA - Dearness Allowance
12% of Basic Salary</t>
        </r>
      </text>
    </comment>
    <comment ref="K4" authorId="0" shapeId="0">
      <text>
        <r>
          <rPr>
            <b/>
            <sz val="9"/>
            <color indexed="81"/>
            <rFont val="Tahoma"/>
            <family val="2"/>
          </rPr>
          <t xml:space="preserve">HRA - House Rent Allowance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Metro City - HRA 50% of Basic Salary
Non-Metro City - HRA 40% of Basic Salary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4" authorId="0" shapeId="0">
      <text>
        <r>
          <rPr>
            <b/>
            <sz val="9"/>
            <color indexed="81"/>
            <rFont val="Tahoma"/>
            <family val="2"/>
          </rPr>
          <t xml:space="preserve">
TA - Travelling Allowance</t>
        </r>
      </text>
    </comment>
    <comment ref="P4" authorId="0" shapeId="0">
      <text>
        <r>
          <rPr>
            <b/>
            <sz val="9"/>
            <color indexed="81"/>
            <rFont val="Tahoma"/>
            <family val="2"/>
          </rPr>
          <t xml:space="preserve">
PF - Provident Fund
12% of Basic Salary</t>
        </r>
      </text>
    </comment>
    <comment ref="Q4" authorId="0" shapeId="0">
      <text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ESI -  Employee State Insurance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If Salary &lt;= 21000 - ESI 0.75% of Gross Salary</t>
        </r>
      </text>
    </comment>
  </commentList>
</comments>
</file>

<file path=xl/sharedStrings.xml><?xml version="1.0" encoding="utf-8"?>
<sst xmlns="http://schemas.openxmlformats.org/spreadsheetml/2006/main" count="359" uniqueCount="90">
  <si>
    <t>May</t>
  </si>
  <si>
    <t>Month</t>
  </si>
  <si>
    <t>Year</t>
  </si>
  <si>
    <t>A</t>
  </si>
  <si>
    <t>P</t>
  </si>
  <si>
    <t>Present</t>
  </si>
  <si>
    <t>Absent</t>
  </si>
  <si>
    <t>Holiday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</si>
  <si>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</si>
  <si>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</si>
  <si>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</si>
  <si>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</si>
  <si>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</si>
  <si>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</si>
  <si>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</si>
  <si>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</si>
  <si>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</si>
  <si>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</si>
  <si>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</si>
  <si>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Emp_Name</t>
  </si>
  <si>
    <t>Emp_ID</t>
  </si>
  <si>
    <t>Aman Khan</t>
  </si>
  <si>
    <t>Neha Sharma</t>
  </si>
  <si>
    <t>Ali Raza</t>
  </si>
  <si>
    <t>Riya Singh</t>
  </si>
  <si>
    <t>Shah Alam</t>
  </si>
  <si>
    <t>Karan Gupta</t>
  </si>
  <si>
    <t>Irfan Pathan</t>
  </si>
  <si>
    <t>Pappi Singh</t>
  </si>
  <si>
    <t>Raja Babu</t>
  </si>
  <si>
    <t>Fiza Khan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</si>
  <si>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</si>
  <si>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</si>
  <si>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</si>
  <si>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</si>
  <si>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</si>
  <si>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</si>
  <si>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</si>
  <si>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</si>
  <si>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</si>
  <si>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</si>
  <si>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Total Days</t>
  </si>
  <si>
    <t>Week Off</t>
  </si>
  <si>
    <t>EMP011</t>
  </si>
  <si>
    <t>EMP012</t>
  </si>
  <si>
    <t>EMP013</t>
  </si>
  <si>
    <t>Raju Roi</t>
  </si>
  <si>
    <t>Rabia Ansari</t>
  </si>
  <si>
    <t>Ram Kumar</t>
  </si>
  <si>
    <t>sfdsfs</t>
  </si>
  <si>
    <r>
      <rPr>
        <b/>
        <sz val="16"/>
        <rFont val="Calibri"/>
        <family val="2"/>
        <scheme val="minor"/>
      </rPr>
      <t xml:space="preserve">DataMentix   </t>
    </r>
    <r>
      <rPr>
        <b/>
        <sz val="14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By Shoaib Saleem</t>
    </r>
  </si>
  <si>
    <t>EMP_Name</t>
  </si>
  <si>
    <t>Designation</t>
  </si>
  <si>
    <t>Basic Salary</t>
  </si>
  <si>
    <t>HRA</t>
  </si>
  <si>
    <t>Gross Salary</t>
  </si>
  <si>
    <t>Manager</t>
  </si>
  <si>
    <t>Engineer</t>
  </si>
  <si>
    <t>Supervisor</t>
  </si>
  <si>
    <t>Tech</t>
  </si>
  <si>
    <t>OT in Hrs.</t>
  </si>
  <si>
    <t>Per Day Salary</t>
  </si>
  <si>
    <t>City</t>
  </si>
  <si>
    <t>Metro</t>
  </si>
  <si>
    <t>Non-Metro</t>
  </si>
  <si>
    <t>S. Tech</t>
  </si>
  <si>
    <t>Helper</t>
  </si>
  <si>
    <t>Attendance(Working Days)</t>
  </si>
  <si>
    <t>TA</t>
  </si>
  <si>
    <t>Overtime Pay</t>
  </si>
  <si>
    <t>Net Salary</t>
  </si>
  <si>
    <t>Salary (Based on Attendance)</t>
  </si>
  <si>
    <t>DA (12%)</t>
  </si>
  <si>
    <r>
      <rPr>
        <b/>
        <sz val="16"/>
        <rFont val="Calibri"/>
        <family val="2"/>
        <scheme val="minor"/>
      </rPr>
      <t>DataMentix</t>
    </r>
    <r>
      <rPr>
        <b/>
        <sz val="14"/>
        <rFont val="Calibri"/>
        <family val="2"/>
        <scheme val="minor"/>
      </rPr>
      <t xml:space="preserve">              </t>
    </r>
    <r>
      <rPr>
        <b/>
        <sz val="12"/>
        <rFont val="Calibri"/>
        <family val="2"/>
        <scheme val="minor"/>
      </rPr>
      <t>By Shoaib Saleem</t>
    </r>
  </si>
  <si>
    <t>Loan</t>
  </si>
  <si>
    <t>Tax</t>
  </si>
  <si>
    <t>Gross Deduction</t>
  </si>
  <si>
    <t>Earnings</t>
  </si>
  <si>
    <t>Employee Details</t>
  </si>
  <si>
    <t>Salary Details</t>
  </si>
  <si>
    <t>Salary Slip Print Date</t>
  </si>
  <si>
    <t>Deductions</t>
  </si>
  <si>
    <t>PF (12%)</t>
  </si>
  <si>
    <t>ESI (0.75%)</t>
  </si>
  <si>
    <t>New Friends Colony, South East Delhi, India-110025</t>
  </si>
  <si>
    <t>DataMentix Services Private Limited</t>
  </si>
  <si>
    <t>This is a sample salary slip generated for educational purpose.</t>
  </si>
  <si>
    <t>Prepared By Shoaib Saleem</t>
  </si>
  <si>
    <t>Employee Signature</t>
  </si>
  <si>
    <t>Manager 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</si>
</sst>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4" formatCode="_(&quot;$&quot;* #,##0.00_);_(&quot;$&quot;* \(#,##0.00\);_(&quot;$&quot;* &quot;-&quot;??_);_(@_)"/>
    <numFmt numFmtId="164" formatCode="[$-409]dddd\,\ mmmm\ d\,\ yyyy"/>
    <numFmt numFmtId="165" formatCode="dd"/>
    <numFmt numFmtId="166" formatCode="_ [$₹-4009]\ * #,##0_ ;_ [$₹-4009]\ * \-#,##0_ ;_ [$₹-4009]\ * &quot;-&quot;??_ ;_ @_ "/>
    <numFmt numFmtId="167" formatCode="_ [$₹-439]* #,##0_ ;_ [$₹-439]* \-#,##0_ ;_ [$₹-439]* &quot;-&quot;??_ ;_ @_ 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8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2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/>
      </left>
      <right/>
      <top style="medium">
        <color theme="4"/>
      </top>
      <bottom/>
      <diagonal/>
    </border>
    <border>
      <left/>
      <right/>
      <top style="medium">
        <color theme="4"/>
      </top>
      <bottom/>
      <diagonal/>
    </border>
    <border>
      <left/>
      <right style="medium">
        <color theme="4"/>
      </right>
      <top style="medium">
        <color theme="4"/>
      </top>
      <bottom/>
      <diagonal/>
    </border>
    <border>
      <left style="medium">
        <color theme="4"/>
      </left>
      <right/>
      <top/>
      <bottom/>
      <diagonal/>
    </border>
    <border>
      <left/>
      <right style="medium">
        <color theme="4"/>
      </right>
      <top/>
      <bottom/>
      <diagonal/>
    </border>
    <border>
      <left style="medium">
        <color theme="4"/>
      </left>
      <right/>
      <top/>
      <bottom style="medium">
        <color theme="4"/>
      </bottom>
      <diagonal/>
    </border>
    <border>
      <left/>
      <right/>
      <top/>
      <bottom style="medium">
        <color theme="4"/>
      </bottom>
      <diagonal/>
    </border>
    <border>
      <left/>
      <right style="medium">
        <color theme="4"/>
      </right>
      <top/>
      <bottom style="medium">
        <color theme="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>
      <alignment horizontal="center" vertical="center" wrapText="1"/>
    </xf>
    <xf numFmtId="44" fontId="12" fillId="0" borderId="0" applyFont="0" applyFill="0" applyBorder="0" applyAlignment="0" applyProtection="0"/>
  </cellStyleXfs>
  <cellXfs count="88">
    <xf numFmtId="0" fontId="0" fillId="0" borderId="0" xfId="0"/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1" fillId="0" borderId="3" xfId="0" applyFont="1" applyBorder="1"/>
    <xf numFmtId="0" fontId="1" fillId="0" borderId="1" xfId="0" applyFont="1" applyBorder="1"/>
    <xf numFmtId="0" fontId="1" fillId="0" borderId="0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4" fontId="4" fillId="4" borderId="2" xfId="0" applyNumberFormat="1" applyFont="1" applyFill="1" applyBorder="1" applyAlignment="1">
      <alignment horizontal="center" vertical="center"/>
    </xf>
    <xf numFmtId="165" fontId="1" fillId="0" borderId="0" xfId="0" applyNumberFormat="1" applyFont="1" applyBorder="1" applyAlignment="1">
      <alignment vertical="center"/>
    </xf>
    <xf numFmtId="165" fontId="1" fillId="3" borderId="0" xfId="0" applyNumberFormat="1" applyFont="1" applyFill="1" applyBorder="1" applyAlignment="1">
      <alignment vertical="center"/>
    </xf>
    <xf numFmtId="165" fontId="7" fillId="0" borderId="0" xfId="0" applyNumberFormat="1" applyFont="1" applyBorder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1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1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4" fillId="0" borderId="16" xfId="0" applyFont="1" applyBorder="1" applyAlignment="1">
      <alignment horizontal="left" vertical="center" indent="1"/>
    </xf>
    <xf numFmtId="0" fontId="14" fillId="0" borderId="0" xfId="0" applyFont="1" applyBorder="1" applyAlignment="1">
      <alignment vertical="center"/>
    </xf>
    <xf numFmtId="0" fontId="14" fillId="0" borderId="0" xfId="0" applyFont="1" applyBorder="1" applyAlignment="1">
      <alignment horizontal="left" vertical="center" indent="1"/>
    </xf>
    <xf numFmtId="0" fontId="14" fillId="0" borderId="18" xfId="0" applyFont="1" applyBorder="1" applyAlignment="1">
      <alignment horizontal="left" vertical="center" indent="1"/>
    </xf>
    <xf numFmtId="0" fontId="0" fillId="0" borderId="0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24" xfId="0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26" xfId="0" applyBorder="1" applyAlignment="1">
      <alignment vertical="center"/>
    </xf>
    <xf numFmtId="0" fontId="13" fillId="0" borderId="0" xfId="0" applyFont="1" applyBorder="1" applyAlignment="1">
      <alignment horizontal="left" vertical="center"/>
    </xf>
    <xf numFmtId="0" fontId="14" fillId="0" borderId="17" xfId="0" applyFont="1" applyBorder="1" applyAlignment="1">
      <alignment horizontal="left" vertical="center" indent="1"/>
    </xf>
    <xf numFmtId="0" fontId="14" fillId="0" borderId="20" xfId="0" applyFont="1" applyBorder="1" applyAlignment="1">
      <alignment horizontal="left" vertical="center" indent="1"/>
    </xf>
    <xf numFmtId="167" fontId="14" fillId="0" borderId="17" xfId="2" applyNumberFormat="1" applyFont="1" applyBorder="1" applyAlignment="1">
      <alignment horizontal="right" vertical="center" indent="1"/>
    </xf>
    <xf numFmtId="166" fontId="14" fillId="0" borderId="17" xfId="2" applyNumberFormat="1" applyFont="1" applyBorder="1" applyAlignment="1">
      <alignment horizontal="right" vertical="center" indent="1"/>
    </xf>
    <xf numFmtId="166" fontId="0" fillId="0" borderId="17" xfId="0" applyNumberFormat="1" applyBorder="1"/>
    <xf numFmtId="167" fontId="14" fillId="0" borderId="20" xfId="2" applyNumberFormat="1" applyFont="1" applyBorder="1" applyAlignment="1">
      <alignment horizontal="left" vertical="center"/>
    </xf>
    <xf numFmtId="166" fontId="14" fillId="0" borderId="20" xfId="2" applyNumberFormat="1" applyFont="1" applyBorder="1" applyAlignment="1">
      <alignment horizontal="left" vertical="center"/>
    </xf>
    <xf numFmtId="166" fontId="14" fillId="0" borderId="17" xfId="2" applyNumberFormat="1" applyFont="1" applyBorder="1" applyAlignment="1">
      <alignment horizontal="right" vertical="center"/>
    </xf>
    <xf numFmtId="0" fontId="14" fillId="0" borderId="17" xfId="0" applyFont="1" applyBorder="1" applyAlignment="1">
      <alignment horizontal="right" vertical="center" indent="1"/>
    </xf>
    <xf numFmtId="14" fontId="14" fillId="0" borderId="20" xfId="0" applyNumberFormat="1" applyFont="1" applyBorder="1" applyAlignment="1">
      <alignment horizontal="right" vertical="center" indent="1"/>
    </xf>
    <xf numFmtId="167" fontId="14" fillId="0" borderId="17" xfId="2" applyNumberFormat="1" applyFont="1" applyBorder="1" applyAlignment="1">
      <alignment horizontal="right" vertical="center" indent="5"/>
    </xf>
    <xf numFmtId="0" fontId="13" fillId="4" borderId="22" xfId="0" applyFont="1" applyFill="1" applyBorder="1" applyAlignment="1">
      <alignment vertical="center"/>
    </xf>
    <xf numFmtId="0" fontId="13" fillId="4" borderId="23" xfId="0" applyFont="1" applyFill="1" applyBorder="1" applyAlignment="1">
      <alignment vertical="center"/>
    </xf>
    <xf numFmtId="0" fontId="0" fillId="0" borderId="16" xfId="0" applyBorder="1"/>
    <xf numFmtId="14" fontId="14" fillId="0" borderId="0" xfId="0" applyNumberFormat="1" applyFont="1" applyBorder="1" applyAlignment="1">
      <alignment horizontal="right" vertical="center" indent="1"/>
    </xf>
    <xf numFmtId="0" fontId="13" fillId="0" borderId="0" xfId="0" applyFont="1" applyBorder="1" applyAlignment="1">
      <alignment horizontal="left" vertical="center" indent="1"/>
    </xf>
    <xf numFmtId="0" fontId="1" fillId="0" borderId="0" xfId="0" applyFont="1" applyBorder="1" applyAlignment="1">
      <alignment horizontal="center" vertical="center" textRotation="90"/>
    </xf>
    <xf numFmtId="0" fontId="3" fillId="2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textRotation="90"/>
    </xf>
    <xf numFmtId="0" fontId="0" fillId="0" borderId="0" xfId="0" applyAlignment="1">
      <alignment horizontal="left"/>
    </xf>
    <xf numFmtId="0" fontId="8" fillId="2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5" fillId="2" borderId="29" xfId="0" applyFont="1" applyFill="1" applyBorder="1" applyAlignment="1">
      <alignment horizontal="center" vertical="center"/>
    </xf>
    <xf numFmtId="0" fontId="15" fillId="2" borderId="21" xfId="0" applyFont="1" applyFill="1" applyBorder="1" applyAlignment="1">
      <alignment horizontal="center" vertical="center"/>
    </xf>
    <xf numFmtId="0" fontId="15" fillId="2" borderId="30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left" vertical="center" indent="1"/>
    </xf>
    <xf numFmtId="0" fontId="16" fillId="2" borderId="1" xfId="0" applyFont="1" applyFill="1" applyBorder="1" applyAlignment="1">
      <alignment horizontal="center" vertical="center"/>
    </xf>
    <xf numFmtId="166" fontId="16" fillId="2" borderId="1" xfId="2" applyNumberFormat="1" applyFont="1" applyFill="1" applyBorder="1" applyAlignment="1">
      <alignment horizontal="left" vertical="center" indent="21"/>
    </xf>
    <xf numFmtId="0" fontId="13" fillId="0" borderId="16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3" fillId="5" borderId="14" xfId="0" applyFont="1" applyFill="1" applyBorder="1" applyAlignment="1">
      <alignment horizontal="center" vertical="center"/>
    </xf>
    <xf numFmtId="0" fontId="13" fillId="5" borderId="12" xfId="0" applyFont="1" applyFill="1" applyBorder="1" applyAlignment="1">
      <alignment horizontal="center" vertical="center"/>
    </xf>
    <xf numFmtId="0" fontId="13" fillId="5" borderId="15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166" fontId="17" fillId="6" borderId="27" xfId="2" applyNumberFormat="1" applyFont="1" applyFill="1" applyBorder="1" applyAlignment="1">
      <alignment horizontal="left" vertical="center" indent="21"/>
    </xf>
    <xf numFmtId="166" fontId="17" fillId="6" borderId="28" xfId="2" applyNumberFormat="1" applyFont="1" applyFill="1" applyBorder="1" applyAlignment="1">
      <alignment horizontal="left" vertical="center" indent="21"/>
    </xf>
  </cellXfs>
  <cellStyles count="3">
    <cellStyle name="Currency" xfId="2" builtinId="4"/>
    <cellStyle name="Normal" xfId="0" builtinId="0"/>
    <cellStyle name="Style 1" xfId="1"/>
  </cellStyles>
  <dxfs count="6">
    <dxf>
      <fill>
        <patternFill>
          <bgColor theme="4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theme="4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808080"/>
      <color rgb="FFFF5050"/>
      <color rgb="FFFF6600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1743075</xdr:colOff>
      <xdr:row>23</xdr:row>
      <xdr:rowOff>228600</xdr:rowOff>
    </xdr:from>
    <xdr:to>
      <xdr:col>3</xdr:col>
      <xdr:colOff>1006225</xdr:colOff>
      <xdr:row>23</xdr:row>
      <xdr:rowOff>228600</xdr:rowOff>
    </xdr:to>
    <xdr:cxnSp macro="">
      <xdr:nvCxnSpPr>
        <xdr:cNvPr id="3" name="Straight Connector 2"/>
        <xdr:cNvCxnSpPr/>
      </xdr:nvCxnSpPr>
      <xdr:spPr>
        <a:xfrm>
          <a:off x="2057400" y="4914900"/>
          <a:ext cx="1301500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1714149</xdr:colOff>
      <xdr:row>23</xdr:row>
      <xdr:rowOff>228600</xdr:rowOff>
    </xdr:from>
    <xdr:to>
      <xdr:col>6</xdr:col>
      <xdr:colOff>9009</xdr:colOff>
      <xdr:row>23</xdr:row>
      <xdr:rowOff>228600</xdr:rowOff>
    </xdr:to>
    <xdr:cxnSp macro="">
      <xdr:nvCxnSpPr>
        <xdr:cNvPr id="5" name="Straight Connector 4"/>
        <xdr:cNvCxnSpPr/>
      </xdr:nvCxnSpPr>
      <xdr:spPr>
        <a:xfrm>
          <a:off x="5038374" y="5038725"/>
          <a:ext cx="1266660" cy="0"/>
        </a:xfrm>
        <a:prstGeom prst="line">
          <a:avLst/>
        </a:prstGeom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F38"/>
  <sheetViews>
    <sheetView showGridLines="0" zoomScale="120" zoomScaleNormal="120" workbookViewId="0">
      <selection activeCell="AC16" sqref="AC16"/>
    </sheetView>
  </sheetViews>
  <sheetFormatPr defaultRowHeight="15" x14ac:dyDescent="0.25"/>
  <cols>
    <col min="1" max="1" width="0.85546875" style="1" customWidth="1"/>
    <col min="2" max="2" width="0.7109375" style="1" customWidth="1"/>
    <col min="3" max="3" width="9" style="1" bestFit="1" customWidth="1"/>
    <col min="4" max="4" width="13.28515625" style="1" bestFit="1" customWidth="1"/>
    <col min="5" max="35" width="3.5703125" style="1" customWidth="1"/>
    <col min="36" max="36" width="5.5703125" style="1" customWidth="1"/>
    <col min="37" max="40" width="3.5703125" style="1" customWidth="1"/>
    <col min="41" max="41" width="0.85546875" style="1" customWidth="1"/>
    <col min="42" max="16384" width="9.140625" style="1"/>
  </cols>
  <sheetData>
    <row r="1" spans="2:58" ht="5.25" customHeight="1" thickBot="1" x14ac:dyDescent="0.3"/>
    <row r="2" spans="2:58" ht="4.5" customHeight="1" x14ac:dyDescent="0.25"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6"/>
    </row>
    <row r="3" spans="2:58" ht="15" customHeight="1" x14ac:dyDescent="0.25">
      <c r="B3" s="7"/>
      <c r="C3" s="16" t="s">
        <v>1</v>
      </c>
      <c r="D3" s="16" t="s">
        <v>2</v>
      </c>
      <c r="E3" s="59" t="str">
        <f>"Fully Automatic Attendance Sheet - "&amp;C4&amp;" "&amp;D4</f>
        <v>Fully Automatic Attendance Sheet - April 2026</v>
      </c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60" t="s">
        <v>50</v>
      </c>
      <c r="AK3" s="60"/>
      <c r="AL3" s="60"/>
      <c r="AM3" s="60"/>
      <c r="AN3" s="60"/>
      <c r="AO3" s="8"/>
    </row>
    <row r="4" spans="2:58" ht="15" customHeight="1" x14ac:dyDescent="0.25">
      <c r="B4" s="7"/>
      <c r="C4" s="16" t="s">
        <v>11</v>
      </c>
      <c r="D4" s="16">
        <v>2026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60"/>
      <c r="AK4" s="60"/>
      <c r="AL4" s="60"/>
      <c r="AM4" s="60"/>
      <c r="AN4" s="60"/>
      <c r="AO4" s="8"/>
    </row>
    <row r="5" spans="2:58" x14ac:dyDescent="0.25">
      <c r="B5" s="7"/>
      <c r="C5" s="17">
        <f>DATEVALUE("1"&amp;C4&amp;D4)</f>
        <v>46113</v>
      </c>
      <c r="D5" s="17">
        <f>EOMONTH(C5,0)</f>
        <v>46142</v>
      </c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60"/>
      <c r="AK5" s="60"/>
      <c r="AL5" s="60"/>
      <c r="AM5" s="60"/>
      <c r="AN5" s="60"/>
      <c r="AO5" s="8"/>
    </row>
    <row r="6" spans="2:58" ht="20.25" customHeight="1" x14ac:dyDescent="0.25">
      <c r="B6" s="7"/>
      <c r="C6" s="61" t="s">
        <v>20</v>
      </c>
      <c r="D6" s="61" t="s">
        <v>19</v>
      </c>
      <c r="E6" s="20">
        <f>C5</f>
        <v>46113</v>
      </c>
      <c r="F6" s="20">
        <f>IF(E6&lt;$D$5,E6+1,"")</f>
        <v>46114</v>
      </c>
      <c r="G6" s="18">
        <f t="shared" ref="G6:AI6" si="0">IF(F6&lt;$D$5,F6+1,"")</f>
        <v>46115</v>
      </c>
      <c r="H6" s="18">
        <f t="shared" si="0"/>
        <v>46116</v>
      </c>
      <c r="I6" s="18">
        <f t="shared" si="0"/>
        <v>46117</v>
      </c>
      <c r="J6" s="18">
        <f t="shared" si="0"/>
        <v>46118</v>
      </c>
      <c r="K6" s="18">
        <f t="shared" si="0"/>
        <v>46119</v>
      </c>
      <c r="L6" s="18">
        <f t="shared" si="0"/>
        <v>46120</v>
      </c>
      <c r="M6" s="18">
        <f t="shared" si="0"/>
        <v>46121</v>
      </c>
      <c r="N6" s="18">
        <f t="shared" si="0"/>
        <v>46122</v>
      </c>
      <c r="O6" s="18">
        <f t="shared" si="0"/>
        <v>46123</v>
      </c>
      <c r="P6" s="18">
        <f t="shared" si="0"/>
        <v>46124</v>
      </c>
      <c r="Q6" s="19">
        <f t="shared" si="0"/>
        <v>46125</v>
      </c>
      <c r="R6" s="18">
        <f t="shared" si="0"/>
        <v>46126</v>
      </c>
      <c r="S6" s="18">
        <f t="shared" si="0"/>
        <v>46127</v>
      </c>
      <c r="T6" s="18">
        <f t="shared" si="0"/>
        <v>46128</v>
      </c>
      <c r="U6" s="18">
        <f t="shared" si="0"/>
        <v>46129</v>
      </c>
      <c r="V6" s="18">
        <f t="shared" si="0"/>
        <v>46130</v>
      </c>
      <c r="W6" s="18">
        <f t="shared" si="0"/>
        <v>46131</v>
      </c>
      <c r="X6" s="18">
        <f t="shared" si="0"/>
        <v>46132</v>
      </c>
      <c r="Y6" s="18">
        <f t="shared" si="0"/>
        <v>46133</v>
      </c>
      <c r="Z6" s="18">
        <f t="shared" si="0"/>
        <v>46134</v>
      </c>
      <c r="AA6" s="18">
        <f t="shared" si="0"/>
        <v>46135</v>
      </c>
      <c r="AB6" s="18">
        <f t="shared" si="0"/>
        <v>46136</v>
      </c>
      <c r="AC6" s="18">
        <f t="shared" si="0"/>
        <v>46137</v>
      </c>
      <c r="AD6" s="18">
        <f t="shared" si="0"/>
        <v>46138</v>
      </c>
      <c r="AE6" s="18">
        <f t="shared" si="0"/>
        <v>46139</v>
      </c>
      <c r="AF6" s="18">
        <f t="shared" si="0"/>
        <v>46140</v>
      </c>
      <c r="AG6" s="18">
        <f t="shared" si="0"/>
        <v>46141</v>
      </c>
      <c r="AH6" s="18">
        <f t="shared" si="0"/>
        <v>46142</v>
      </c>
      <c r="AI6" s="18" t="str">
        <f t="shared" si="0"/>
        <v/>
      </c>
      <c r="AJ6" s="64" t="s">
        <v>41</v>
      </c>
      <c r="AK6" s="66" t="s">
        <v>5</v>
      </c>
      <c r="AL6" s="66" t="s">
        <v>7</v>
      </c>
      <c r="AM6" s="66" t="s">
        <v>42</v>
      </c>
      <c r="AN6" s="66" t="s">
        <v>6</v>
      </c>
      <c r="AO6" s="8"/>
    </row>
    <row r="7" spans="2:58" ht="15" customHeight="1" x14ac:dyDescent="0.25">
      <c r="B7" s="7"/>
      <c r="C7" s="62"/>
      <c r="D7" s="62"/>
      <c r="E7" s="58" t="str">
        <f t="shared" ref="E7:AI7" si="1">TEXT(E6,"ddd")</f>
        <v>Wed</v>
      </c>
      <c r="F7" s="58" t="str">
        <f t="shared" si="1"/>
        <v>Thu</v>
      </c>
      <c r="G7" s="58" t="str">
        <f t="shared" si="1"/>
        <v>Fri</v>
      </c>
      <c r="H7" s="58" t="str">
        <f t="shared" si="1"/>
        <v>Sat</v>
      </c>
      <c r="I7" s="58" t="str">
        <f t="shared" si="1"/>
        <v>Sun</v>
      </c>
      <c r="J7" s="58" t="str">
        <f t="shared" si="1"/>
        <v>Mon</v>
      </c>
      <c r="K7" s="58" t="str">
        <f t="shared" si="1"/>
        <v>Tue</v>
      </c>
      <c r="L7" s="58" t="str">
        <f t="shared" si="1"/>
        <v>Wed</v>
      </c>
      <c r="M7" s="58" t="str">
        <f t="shared" si="1"/>
        <v>Thu</v>
      </c>
      <c r="N7" s="58" t="str">
        <f t="shared" si="1"/>
        <v>Fri</v>
      </c>
      <c r="O7" s="58" t="str">
        <f t="shared" si="1"/>
        <v>Sat</v>
      </c>
      <c r="P7" s="58" t="str">
        <f t="shared" si="1"/>
        <v>Sun</v>
      </c>
      <c r="Q7" s="58" t="str">
        <f t="shared" si="1"/>
        <v>Mon</v>
      </c>
      <c r="R7" s="58" t="str">
        <f t="shared" si="1"/>
        <v>Tue</v>
      </c>
      <c r="S7" s="58" t="str">
        <f t="shared" si="1"/>
        <v>Wed</v>
      </c>
      <c r="T7" s="58" t="str">
        <f t="shared" si="1"/>
        <v>Thu</v>
      </c>
      <c r="U7" s="58" t="str">
        <f t="shared" si="1"/>
        <v>Fri</v>
      </c>
      <c r="V7" s="58" t="str">
        <f t="shared" si="1"/>
        <v>Sat</v>
      </c>
      <c r="W7" s="58" t="str">
        <f t="shared" si="1"/>
        <v>Sun</v>
      </c>
      <c r="X7" s="58" t="str">
        <f t="shared" si="1"/>
        <v>Mon</v>
      </c>
      <c r="Y7" s="58" t="str">
        <f t="shared" si="1"/>
        <v>Tue</v>
      </c>
      <c r="Z7" s="58" t="str">
        <f t="shared" si="1"/>
        <v>Wed</v>
      </c>
      <c r="AA7" s="58" t="str">
        <f t="shared" si="1"/>
        <v>Thu</v>
      </c>
      <c r="AB7" s="58" t="str">
        <f t="shared" si="1"/>
        <v>Fri</v>
      </c>
      <c r="AC7" s="58" t="str">
        <f t="shared" si="1"/>
        <v>Sat</v>
      </c>
      <c r="AD7" s="58" t="str">
        <f t="shared" si="1"/>
        <v>Sun</v>
      </c>
      <c r="AE7" s="58" t="str">
        <f t="shared" si="1"/>
        <v>Mon</v>
      </c>
      <c r="AF7" s="58" t="str">
        <f t="shared" si="1"/>
        <v>Tue</v>
      </c>
      <c r="AG7" s="58" t="str">
        <f t="shared" si="1"/>
        <v>Wed</v>
      </c>
      <c r="AH7" s="58" t="str">
        <f t="shared" si="1"/>
        <v>Thu</v>
      </c>
      <c r="AI7" s="58" t="str">
        <f t="shared" si="1"/>
        <v/>
      </c>
      <c r="AJ7" s="65"/>
      <c r="AK7" s="58"/>
      <c r="AL7" s="58"/>
      <c r="AM7" s="58"/>
      <c r="AN7" s="58"/>
      <c r="AO7" s="8"/>
    </row>
    <row r="8" spans="2:58" x14ac:dyDescent="0.25">
      <c r="B8" s="7"/>
      <c r="C8" s="63"/>
      <c r="D8" s="63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65"/>
      <c r="AK8" s="58"/>
      <c r="AL8" s="58"/>
      <c r="AM8" s="58"/>
      <c r="AN8" s="58"/>
      <c r="AO8" s="8"/>
    </row>
    <row r="9" spans="2:58" x14ac:dyDescent="0.25">
      <c r="B9" s="7"/>
      <c r="C9" s="12" t="s">
        <v>31</v>
      </c>
      <c r="D9" s="12" t="s">
        <v>21</v>
      </c>
      <c r="E9" s="14" t="s">
        <v>4</v>
      </c>
      <c r="F9" s="15" t="s">
        <v>4</v>
      </c>
      <c r="G9" s="15" t="s">
        <v>4</v>
      </c>
      <c r="H9" s="15" t="s">
        <v>4</v>
      </c>
      <c r="I9" s="15"/>
      <c r="J9" s="15" t="s">
        <v>4</v>
      </c>
      <c r="K9" s="15" t="s">
        <v>4</v>
      </c>
      <c r="L9" s="15" t="s">
        <v>3</v>
      </c>
      <c r="M9" s="15" t="s">
        <v>4</v>
      </c>
      <c r="N9" s="15" t="s">
        <v>4</v>
      </c>
      <c r="O9" s="15" t="s">
        <v>4</v>
      </c>
      <c r="P9" s="15"/>
      <c r="Q9" s="15" t="s">
        <v>4</v>
      </c>
      <c r="R9" s="15" t="s">
        <v>3</v>
      </c>
      <c r="S9" s="15" t="s">
        <v>4</v>
      </c>
      <c r="T9" s="15" t="s">
        <v>3</v>
      </c>
      <c r="U9" s="15" t="s">
        <v>4</v>
      </c>
      <c r="V9" s="15" t="s">
        <v>4</v>
      </c>
      <c r="W9" s="15"/>
      <c r="X9" s="15" t="s">
        <v>4</v>
      </c>
      <c r="Y9" s="15" t="s">
        <v>4</v>
      </c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4">
        <f t="shared" ref="AJ9:AJ21" si="2">COUNT(E$6:AI$6)</f>
        <v>30</v>
      </c>
      <c r="AK9" s="14">
        <f>COUNTIF($E9:$AI9,"P")</f>
        <v>15</v>
      </c>
      <c r="AL9" s="14">
        <f>COUNTIF($E9:$AI9,"H")</f>
        <v>0</v>
      </c>
      <c r="AM9" s="14">
        <f>COUNTIF(E$7:AI$8,"Sun")</f>
        <v>4</v>
      </c>
      <c r="AN9" s="14">
        <f>COUNTIF($E9:$AI9,"A")</f>
        <v>3</v>
      </c>
      <c r="AO9" s="8"/>
    </row>
    <row r="10" spans="2:58" x14ac:dyDescent="0.25">
      <c r="B10" s="7"/>
      <c r="C10" s="12" t="s">
        <v>32</v>
      </c>
      <c r="D10" s="13" t="s">
        <v>22</v>
      </c>
      <c r="E10" s="14" t="s">
        <v>4</v>
      </c>
      <c r="F10" s="15" t="s">
        <v>4</v>
      </c>
      <c r="G10" s="15" t="s">
        <v>3</v>
      </c>
      <c r="H10" s="15" t="s">
        <v>4</v>
      </c>
      <c r="I10" s="15"/>
      <c r="J10" s="15" t="s">
        <v>3</v>
      </c>
      <c r="K10" s="15" t="s">
        <v>4</v>
      </c>
      <c r="L10" s="15" t="s">
        <v>4</v>
      </c>
      <c r="M10" s="15" t="s">
        <v>4</v>
      </c>
      <c r="N10" s="15" t="s">
        <v>3</v>
      </c>
      <c r="O10" s="15" t="s">
        <v>4</v>
      </c>
      <c r="P10" s="15"/>
      <c r="Q10" s="15" t="s">
        <v>3</v>
      </c>
      <c r="R10" s="15" t="s">
        <v>4</v>
      </c>
      <c r="S10" s="15" t="s">
        <v>3</v>
      </c>
      <c r="T10" s="15" t="s">
        <v>4</v>
      </c>
      <c r="U10" s="15" t="s">
        <v>4</v>
      </c>
      <c r="V10" s="15" t="s">
        <v>4</v>
      </c>
      <c r="W10" s="15"/>
      <c r="X10" s="15" t="s">
        <v>4</v>
      </c>
      <c r="Y10" s="15" t="s">
        <v>4</v>
      </c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4">
        <f t="shared" si="2"/>
        <v>30</v>
      </c>
      <c r="AK10" s="14">
        <f t="shared" ref="AK10:AK21" si="3">COUNTIF($E10:$AI10,"P")</f>
        <v>13</v>
      </c>
      <c r="AL10" s="14">
        <f t="shared" ref="AL10:AL21" si="4">COUNTIF($E10:$AI10,"H")</f>
        <v>0</v>
      </c>
      <c r="AM10" s="14">
        <f t="shared" ref="AM10:AM21" si="5">COUNTIF(E$7:AI$8,"Sun")</f>
        <v>4</v>
      </c>
      <c r="AN10" s="14">
        <f t="shared" ref="AN10:AN21" si="6">COUNTIF($E10:$AI10,"A")</f>
        <v>5</v>
      </c>
      <c r="AO10" s="8"/>
    </row>
    <row r="11" spans="2:58" x14ac:dyDescent="0.25">
      <c r="B11" s="7"/>
      <c r="C11" s="12" t="s">
        <v>33</v>
      </c>
      <c r="D11" s="13" t="s">
        <v>23</v>
      </c>
      <c r="E11" s="14" t="s">
        <v>3</v>
      </c>
      <c r="F11" s="15" t="s">
        <v>4</v>
      </c>
      <c r="G11" s="15" t="s">
        <v>4</v>
      </c>
      <c r="H11" s="15" t="s">
        <v>4</v>
      </c>
      <c r="I11" s="15"/>
      <c r="J11" s="15" t="s">
        <v>4</v>
      </c>
      <c r="K11" s="15" t="s">
        <v>4</v>
      </c>
      <c r="L11" s="15" t="s">
        <v>3</v>
      </c>
      <c r="M11" s="15" t="s">
        <v>4</v>
      </c>
      <c r="N11" s="15" t="s">
        <v>4</v>
      </c>
      <c r="O11" s="15" t="s">
        <v>4</v>
      </c>
      <c r="P11" s="15"/>
      <c r="Q11" s="15" t="s">
        <v>4</v>
      </c>
      <c r="R11" s="15" t="s">
        <v>4</v>
      </c>
      <c r="S11" s="15" t="s">
        <v>4</v>
      </c>
      <c r="T11" s="15" t="s">
        <v>4</v>
      </c>
      <c r="U11" s="15" t="s">
        <v>4</v>
      </c>
      <c r="V11" s="15" t="s">
        <v>3</v>
      </c>
      <c r="W11" s="15"/>
      <c r="X11" s="15" t="s">
        <v>3</v>
      </c>
      <c r="Y11" s="15" t="s">
        <v>3</v>
      </c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4">
        <f t="shared" si="2"/>
        <v>30</v>
      </c>
      <c r="AK11" s="14">
        <f t="shared" si="3"/>
        <v>13</v>
      </c>
      <c r="AL11" s="14">
        <f t="shared" si="4"/>
        <v>0</v>
      </c>
      <c r="AM11" s="14">
        <f t="shared" si="5"/>
        <v>4</v>
      </c>
      <c r="AN11" s="14">
        <f t="shared" si="6"/>
        <v>5</v>
      </c>
      <c r="AO11" s="8"/>
    </row>
    <row r="12" spans="2:58" x14ac:dyDescent="0.25">
      <c r="B12" s="7"/>
      <c r="C12" s="12" t="s">
        <v>34</v>
      </c>
      <c r="D12" s="13" t="s">
        <v>24</v>
      </c>
      <c r="E12" s="14" t="s">
        <v>4</v>
      </c>
      <c r="F12" s="15" t="s">
        <v>4</v>
      </c>
      <c r="G12" s="15" t="s">
        <v>4</v>
      </c>
      <c r="H12" s="15" t="s">
        <v>4</v>
      </c>
      <c r="I12" s="15"/>
      <c r="J12" s="15" t="s">
        <v>4</v>
      </c>
      <c r="K12" s="15" t="s">
        <v>4</v>
      </c>
      <c r="L12" s="15" t="s">
        <v>4</v>
      </c>
      <c r="M12" s="15" t="s">
        <v>3</v>
      </c>
      <c r="N12" s="15" t="s">
        <v>4</v>
      </c>
      <c r="O12" s="15" t="s">
        <v>4</v>
      </c>
      <c r="P12" s="15"/>
      <c r="Q12" s="15" t="s">
        <v>4</v>
      </c>
      <c r="R12" s="15" t="s">
        <v>3</v>
      </c>
      <c r="S12" s="15" t="s">
        <v>4</v>
      </c>
      <c r="T12" s="15" t="s">
        <v>3</v>
      </c>
      <c r="U12" s="15" t="s">
        <v>4</v>
      </c>
      <c r="V12" s="15" t="s">
        <v>4</v>
      </c>
      <c r="W12" s="15"/>
      <c r="X12" s="15" t="s">
        <v>4</v>
      </c>
      <c r="Y12" s="15" t="s">
        <v>4</v>
      </c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4">
        <f t="shared" si="2"/>
        <v>30</v>
      </c>
      <c r="AK12" s="14">
        <f t="shared" si="3"/>
        <v>15</v>
      </c>
      <c r="AL12" s="14">
        <f t="shared" si="4"/>
        <v>0</v>
      </c>
      <c r="AM12" s="14">
        <f t="shared" si="5"/>
        <v>4</v>
      </c>
      <c r="AN12" s="14">
        <f t="shared" si="6"/>
        <v>3</v>
      </c>
      <c r="AO12" s="8"/>
      <c r="BF12" s="1" t="s">
        <v>49</v>
      </c>
    </row>
    <row r="13" spans="2:58" x14ac:dyDescent="0.25">
      <c r="B13" s="7"/>
      <c r="C13" s="12" t="s">
        <v>35</v>
      </c>
      <c r="D13" s="13" t="s">
        <v>25</v>
      </c>
      <c r="E13" s="14" t="s">
        <v>4</v>
      </c>
      <c r="F13" s="15" t="s">
        <v>4</v>
      </c>
      <c r="G13" s="15" t="s">
        <v>3</v>
      </c>
      <c r="H13" s="15" t="s">
        <v>4</v>
      </c>
      <c r="I13" s="15"/>
      <c r="J13" s="15" t="s">
        <v>4</v>
      </c>
      <c r="K13" s="15" t="s">
        <v>4</v>
      </c>
      <c r="L13" s="15" t="s">
        <v>4</v>
      </c>
      <c r="M13" s="15" t="s">
        <v>4</v>
      </c>
      <c r="N13" s="15" t="s">
        <v>4</v>
      </c>
      <c r="O13" s="15" t="s">
        <v>3</v>
      </c>
      <c r="P13" s="15"/>
      <c r="Q13" s="15" t="s">
        <v>3</v>
      </c>
      <c r="R13" s="15" t="s">
        <v>4</v>
      </c>
      <c r="S13" s="15" t="s">
        <v>4</v>
      </c>
      <c r="T13" s="15" t="s">
        <v>4</v>
      </c>
      <c r="U13" s="15" t="s">
        <v>3</v>
      </c>
      <c r="V13" s="15" t="s">
        <v>4</v>
      </c>
      <c r="W13" s="15"/>
      <c r="X13" s="15" t="s">
        <v>4</v>
      </c>
      <c r="Y13" s="15" t="s">
        <v>4</v>
      </c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4">
        <f t="shared" si="2"/>
        <v>30</v>
      </c>
      <c r="AK13" s="14">
        <f t="shared" si="3"/>
        <v>14</v>
      </c>
      <c r="AL13" s="14">
        <f t="shared" si="4"/>
        <v>0</v>
      </c>
      <c r="AM13" s="14">
        <f t="shared" si="5"/>
        <v>4</v>
      </c>
      <c r="AN13" s="14">
        <f t="shared" si="6"/>
        <v>4</v>
      </c>
      <c r="AO13" s="8"/>
    </row>
    <row r="14" spans="2:58" x14ac:dyDescent="0.25">
      <c r="B14" s="7"/>
      <c r="C14" s="12" t="s">
        <v>36</v>
      </c>
      <c r="D14" s="13" t="s">
        <v>26</v>
      </c>
      <c r="E14" s="14" t="s">
        <v>4</v>
      </c>
      <c r="F14" s="15" t="s">
        <v>3</v>
      </c>
      <c r="G14" s="15" t="s">
        <v>4</v>
      </c>
      <c r="H14" s="15" t="s">
        <v>4</v>
      </c>
      <c r="I14" s="15"/>
      <c r="J14" s="15" t="s">
        <v>4</v>
      </c>
      <c r="K14" s="15" t="s">
        <v>3</v>
      </c>
      <c r="L14" s="15" t="s">
        <v>4</v>
      </c>
      <c r="M14" s="15" t="s">
        <v>3</v>
      </c>
      <c r="N14" s="15" t="s">
        <v>4</v>
      </c>
      <c r="O14" s="15" t="s">
        <v>4</v>
      </c>
      <c r="P14" s="15"/>
      <c r="Q14" s="15" t="s">
        <v>4</v>
      </c>
      <c r="R14" s="15" t="s">
        <v>4</v>
      </c>
      <c r="S14" s="15" t="s">
        <v>3</v>
      </c>
      <c r="T14" s="15" t="s">
        <v>4</v>
      </c>
      <c r="U14" s="15" t="s">
        <v>4</v>
      </c>
      <c r="V14" s="15" t="s">
        <v>4</v>
      </c>
      <c r="W14" s="15"/>
      <c r="X14" s="15" t="s">
        <v>4</v>
      </c>
      <c r="Y14" s="15" t="s">
        <v>4</v>
      </c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4">
        <f t="shared" si="2"/>
        <v>30</v>
      </c>
      <c r="AK14" s="14">
        <f t="shared" si="3"/>
        <v>14</v>
      </c>
      <c r="AL14" s="14">
        <f t="shared" si="4"/>
        <v>0</v>
      </c>
      <c r="AM14" s="14">
        <f t="shared" si="5"/>
        <v>4</v>
      </c>
      <c r="AN14" s="14">
        <f t="shared" si="6"/>
        <v>4</v>
      </c>
      <c r="AO14" s="8"/>
    </row>
    <row r="15" spans="2:58" x14ac:dyDescent="0.25">
      <c r="B15" s="7"/>
      <c r="C15" s="12" t="s">
        <v>37</v>
      </c>
      <c r="D15" s="13" t="s">
        <v>27</v>
      </c>
      <c r="E15" s="14" t="s">
        <v>3</v>
      </c>
      <c r="F15" s="15" t="s">
        <v>4</v>
      </c>
      <c r="G15" s="15" t="s">
        <v>4</v>
      </c>
      <c r="H15" s="15" t="s">
        <v>3</v>
      </c>
      <c r="I15" s="15"/>
      <c r="J15" s="15" t="s">
        <v>4</v>
      </c>
      <c r="K15" s="15" t="s">
        <v>4</v>
      </c>
      <c r="L15" s="15" t="s">
        <v>4</v>
      </c>
      <c r="M15" s="15" t="s">
        <v>4</v>
      </c>
      <c r="N15" s="15" t="s">
        <v>4</v>
      </c>
      <c r="O15" s="15" t="s">
        <v>3</v>
      </c>
      <c r="P15" s="15"/>
      <c r="Q15" s="15" t="s">
        <v>4</v>
      </c>
      <c r="R15" s="15" t="s">
        <v>4</v>
      </c>
      <c r="S15" s="15" t="s">
        <v>4</v>
      </c>
      <c r="T15" s="15" t="s">
        <v>4</v>
      </c>
      <c r="U15" s="15" t="s">
        <v>4</v>
      </c>
      <c r="V15" s="15" t="s">
        <v>3</v>
      </c>
      <c r="W15" s="15"/>
      <c r="X15" s="15" t="s">
        <v>3</v>
      </c>
      <c r="Y15" s="15" t="s">
        <v>3</v>
      </c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4">
        <f t="shared" si="2"/>
        <v>30</v>
      </c>
      <c r="AK15" s="14">
        <f t="shared" si="3"/>
        <v>12</v>
      </c>
      <c r="AL15" s="14">
        <f t="shared" si="4"/>
        <v>0</v>
      </c>
      <c r="AM15" s="14">
        <f t="shared" si="5"/>
        <v>4</v>
      </c>
      <c r="AN15" s="14">
        <f t="shared" si="6"/>
        <v>6</v>
      </c>
      <c r="AO15" s="8"/>
    </row>
    <row r="16" spans="2:58" x14ac:dyDescent="0.25">
      <c r="B16" s="7"/>
      <c r="C16" s="12" t="s">
        <v>38</v>
      </c>
      <c r="D16" s="13" t="s">
        <v>28</v>
      </c>
      <c r="E16" s="14" t="s">
        <v>4</v>
      </c>
      <c r="F16" s="15" t="s">
        <v>4</v>
      </c>
      <c r="G16" s="15" t="s">
        <v>4</v>
      </c>
      <c r="H16" s="15" t="s">
        <v>4</v>
      </c>
      <c r="I16" s="15"/>
      <c r="J16" s="15" t="s">
        <v>3</v>
      </c>
      <c r="K16" s="15" t="s">
        <v>4</v>
      </c>
      <c r="L16" s="15" t="s">
        <v>3</v>
      </c>
      <c r="M16" s="15" t="s">
        <v>4</v>
      </c>
      <c r="N16" s="15" t="s">
        <v>3</v>
      </c>
      <c r="O16" s="15" t="s">
        <v>4</v>
      </c>
      <c r="P16" s="15"/>
      <c r="Q16" s="15" t="s">
        <v>4</v>
      </c>
      <c r="R16" s="15" t="s">
        <v>3</v>
      </c>
      <c r="S16" s="15" t="s">
        <v>4</v>
      </c>
      <c r="T16" s="15" t="s">
        <v>3</v>
      </c>
      <c r="U16" s="15" t="s">
        <v>4</v>
      </c>
      <c r="V16" s="15" t="s">
        <v>4</v>
      </c>
      <c r="W16" s="15"/>
      <c r="X16" s="15" t="s">
        <v>4</v>
      </c>
      <c r="Y16" s="15" t="s">
        <v>4</v>
      </c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4">
        <f t="shared" si="2"/>
        <v>30</v>
      </c>
      <c r="AK16" s="14">
        <f t="shared" si="3"/>
        <v>13</v>
      </c>
      <c r="AL16" s="14">
        <f t="shared" si="4"/>
        <v>0</v>
      </c>
      <c r="AM16" s="14">
        <f t="shared" si="5"/>
        <v>4</v>
      </c>
      <c r="AN16" s="14">
        <f t="shared" si="6"/>
        <v>5</v>
      </c>
      <c r="AO16" s="8"/>
    </row>
    <row r="17" spans="2:41" x14ac:dyDescent="0.25">
      <c r="B17" s="7"/>
      <c r="C17" s="12" t="s">
        <v>39</v>
      </c>
      <c r="D17" s="13" t="s">
        <v>46</v>
      </c>
      <c r="E17" s="14" t="s">
        <v>4</v>
      </c>
      <c r="F17" s="15" t="s">
        <v>3</v>
      </c>
      <c r="G17" s="15" t="s">
        <v>4</v>
      </c>
      <c r="H17" s="15" t="s">
        <v>4</v>
      </c>
      <c r="I17" s="15"/>
      <c r="J17" s="15" t="s">
        <v>4</v>
      </c>
      <c r="K17" s="15" t="s">
        <v>4</v>
      </c>
      <c r="L17" s="15" t="s">
        <v>4</v>
      </c>
      <c r="M17" s="15" t="s">
        <v>4</v>
      </c>
      <c r="N17" s="15" t="s">
        <v>4</v>
      </c>
      <c r="O17" s="15" t="s">
        <v>3</v>
      </c>
      <c r="P17" s="15"/>
      <c r="Q17" s="15" t="s">
        <v>4</v>
      </c>
      <c r="R17" s="15" t="s">
        <v>4</v>
      </c>
      <c r="S17" s="15" t="s">
        <v>4</v>
      </c>
      <c r="T17" s="15" t="s">
        <v>4</v>
      </c>
      <c r="U17" s="15" t="s">
        <v>3</v>
      </c>
      <c r="V17" s="15" t="s">
        <v>4</v>
      </c>
      <c r="W17" s="15"/>
      <c r="X17" s="15" t="s">
        <v>4</v>
      </c>
      <c r="Y17" s="15" t="s">
        <v>4</v>
      </c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4">
        <f t="shared" si="2"/>
        <v>30</v>
      </c>
      <c r="AK17" s="14">
        <f t="shared" si="3"/>
        <v>15</v>
      </c>
      <c r="AL17" s="14">
        <f t="shared" si="4"/>
        <v>0</v>
      </c>
      <c r="AM17" s="14">
        <f t="shared" si="5"/>
        <v>4</v>
      </c>
      <c r="AN17" s="14">
        <f t="shared" si="6"/>
        <v>3</v>
      </c>
      <c r="AO17" s="8"/>
    </row>
    <row r="18" spans="2:41" x14ac:dyDescent="0.25">
      <c r="B18" s="7"/>
      <c r="C18" s="12" t="s">
        <v>40</v>
      </c>
      <c r="D18" s="13" t="s">
        <v>47</v>
      </c>
      <c r="E18" s="14" t="s">
        <v>4</v>
      </c>
      <c r="F18" s="15" t="s">
        <v>4</v>
      </c>
      <c r="G18" s="15" t="s">
        <v>3</v>
      </c>
      <c r="H18" s="15" t="s">
        <v>4</v>
      </c>
      <c r="I18" s="15"/>
      <c r="J18" s="15" t="s">
        <v>4</v>
      </c>
      <c r="K18" s="15" t="s">
        <v>3</v>
      </c>
      <c r="L18" s="15" t="s">
        <v>4</v>
      </c>
      <c r="M18" s="15" t="s">
        <v>3</v>
      </c>
      <c r="N18" s="15" t="s">
        <v>4</v>
      </c>
      <c r="O18" s="15" t="s">
        <v>4</v>
      </c>
      <c r="P18" s="15"/>
      <c r="Q18" s="15" t="s">
        <v>3</v>
      </c>
      <c r="R18" s="15" t="s">
        <v>4</v>
      </c>
      <c r="S18" s="15" t="s">
        <v>3</v>
      </c>
      <c r="T18" s="15" t="s">
        <v>4</v>
      </c>
      <c r="U18" s="15" t="s">
        <v>4</v>
      </c>
      <c r="V18" s="15" t="s">
        <v>3</v>
      </c>
      <c r="W18" s="15"/>
      <c r="X18" s="15" t="s">
        <v>3</v>
      </c>
      <c r="Y18" s="15" t="s">
        <v>3</v>
      </c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4">
        <f t="shared" si="2"/>
        <v>30</v>
      </c>
      <c r="AK18" s="14">
        <f t="shared" si="3"/>
        <v>10</v>
      </c>
      <c r="AL18" s="14">
        <f t="shared" si="4"/>
        <v>0</v>
      </c>
      <c r="AM18" s="14">
        <f t="shared" si="5"/>
        <v>4</v>
      </c>
      <c r="AN18" s="14">
        <f t="shared" si="6"/>
        <v>8</v>
      </c>
      <c r="AO18" s="8"/>
    </row>
    <row r="19" spans="2:41" x14ac:dyDescent="0.25">
      <c r="B19" s="7"/>
      <c r="C19" s="12" t="s">
        <v>43</v>
      </c>
      <c r="D19" s="13" t="s">
        <v>48</v>
      </c>
      <c r="E19" s="14" t="s">
        <v>4</v>
      </c>
      <c r="F19" s="15" t="s">
        <v>3</v>
      </c>
      <c r="G19" s="15" t="s">
        <v>4</v>
      </c>
      <c r="H19" s="15" t="s">
        <v>4</v>
      </c>
      <c r="I19" s="15"/>
      <c r="J19" s="15" t="s">
        <v>4</v>
      </c>
      <c r="K19" s="15" t="s">
        <v>4</v>
      </c>
      <c r="L19" s="15" t="s">
        <v>4</v>
      </c>
      <c r="M19" s="15" t="s">
        <v>4</v>
      </c>
      <c r="N19" s="15" t="s">
        <v>4</v>
      </c>
      <c r="O19" s="15" t="s">
        <v>4</v>
      </c>
      <c r="P19" s="15"/>
      <c r="Q19" s="15" t="s">
        <v>4</v>
      </c>
      <c r="R19" s="15" t="s">
        <v>4</v>
      </c>
      <c r="S19" s="15" t="s">
        <v>4</v>
      </c>
      <c r="T19" s="15" t="s">
        <v>4</v>
      </c>
      <c r="U19" s="15" t="s">
        <v>4</v>
      </c>
      <c r="V19" s="15" t="s">
        <v>4</v>
      </c>
      <c r="W19" s="15"/>
      <c r="X19" s="15" t="s">
        <v>4</v>
      </c>
      <c r="Y19" s="15" t="s">
        <v>4</v>
      </c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4">
        <f t="shared" si="2"/>
        <v>30</v>
      </c>
      <c r="AK19" s="14">
        <f t="shared" si="3"/>
        <v>17</v>
      </c>
      <c r="AL19" s="14">
        <f t="shared" si="4"/>
        <v>0</v>
      </c>
      <c r="AM19" s="14">
        <f t="shared" si="5"/>
        <v>4</v>
      </c>
      <c r="AN19" s="14">
        <f t="shared" si="6"/>
        <v>1</v>
      </c>
      <c r="AO19" s="8"/>
    </row>
    <row r="20" spans="2:41" x14ac:dyDescent="0.25">
      <c r="B20" s="7"/>
      <c r="C20" s="12" t="s">
        <v>44</v>
      </c>
      <c r="D20" s="13" t="s">
        <v>29</v>
      </c>
      <c r="E20" s="14" t="s">
        <v>3</v>
      </c>
      <c r="F20" s="15" t="s">
        <v>4</v>
      </c>
      <c r="G20" s="15" t="s">
        <v>4</v>
      </c>
      <c r="H20" s="15" t="s">
        <v>4</v>
      </c>
      <c r="I20" s="15"/>
      <c r="J20" s="15" t="s">
        <v>4</v>
      </c>
      <c r="K20" s="15" t="s">
        <v>4</v>
      </c>
      <c r="L20" s="15" t="s">
        <v>3</v>
      </c>
      <c r="M20" s="15" t="s">
        <v>4</v>
      </c>
      <c r="N20" s="15" t="s">
        <v>4</v>
      </c>
      <c r="O20" s="15" t="s">
        <v>3</v>
      </c>
      <c r="P20" s="15"/>
      <c r="Q20" s="15" t="s">
        <v>4</v>
      </c>
      <c r="R20" s="15" t="s">
        <v>3</v>
      </c>
      <c r="S20" s="15" t="s">
        <v>4</v>
      </c>
      <c r="T20" s="15" t="s">
        <v>4</v>
      </c>
      <c r="U20" s="15" t="s">
        <v>3</v>
      </c>
      <c r="V20" s="15" t="s">
        <v>4</v>
      </c>
      <c r="W20" s="15"/>
      <c r="X20" s="15" t="s">
        <v>4</v>
      </c>
      <c r="Y20" s="15" t="s">
        <v>4</v>
      </c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4">
        <f t="shared" si="2"/>
        <v>30</v>
      </c>
      <c r="AK20" s="14">
        <f t="shared" si="3"/>
        <v>13</v>
      </c>
      <c r="AL20" s="14">
        <f t="shared" si="4"/>
        <v>0</v>
      </c>
      <c r="AM20" s="14">
        <f t="shared" si="5"/>
        <v>4</v>
      </c>
      <c r="AN20" s="14">
        <f t="shared" si="6"/>
        <v>5</v>
      </c>
      <c r="AO20" s="8"/>
    </row>
    <row r="21" spans="2:41" x14ac:dyDescent="0.25">
      <c r="B21" s="7"/>
      <c r="C21" s="12" t="s">
        <v>45</v>
      </c>
      <c r="D21" s="13" t="s">
        <v>30</v>
      </c>
      <c r="E21" s="14" t="s">
        <v>4</v>
      </c>
      <c r="F21" s="15" t="s">
        <v>4</v>
      </c>
      <c r="G21" s="15" t="s">
        <v>3</v>
      </c>
      <c r="H21" s="15" t="s">
        <v>4</v>
      </c>
      <c r="I21" s="15"/>
      <c r="J21" s="15" t="s">
        <v>3</v>
      </c>
      <c r="K21" s="15" t="s">
        <v>4</v>
      </c>
      <c r="L21" s="15" t="s">
        <v>4</v>
      </c>
      <c r="M21" s="15" t="s">
        <v>4</v>
      </c>
      <c r="N21" s="15" t="s">
        <v>4</v>
      </c>
      <c r="O21" s="15" t="s">
        <v>4</v>
      </c>
      <c r="P21" s="15"/>
      <c r="Q21" s="15" t="s">
        <v>4</v>
      </c>
      <c r="R21" s="15" t="s">
        <v>4</v>
      </c>
      <c r="S21" s="15" t="s">
        <v>4</v>
      </c>
      <c r="T21" s="15" t="s">
        <v>3</v>
      </c>
      <c r="U21" s="15" t="s">
        <v>4</v>
      </c>
      <c r="V21" s="15" t="s">
        <v>4</v>
      </c>
      <c r="W21" s="15"/>
      <c r="X21" s="15" t="s">
        <v>4</v>
      </c>
      <c r="Y21" s="15" t="s">
        <v>4</v>
      </c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4">
        <f t="shared" si="2"/>
        <v>30</v>
      </c>
      <c r="AK21" s="14">
        <f t="shared" si="3"/>
        <v>15</v>
      </c>
      <c r="AL21" s="14">
        <f t="shared" si="4"/>
        <v>0</v>
      </c>
      <c r="AM21" s="14">
        <f t="shared" si="5"/>
        <v>4</v>
      </c>
      <c r="AN21" s="14">
        <f t="shared" si="6"/>
        <v>3</v>
      </c>
      <c r="AO21" s="8"/>
    </row>
    <row r="22" spans="2:41" ht="4.5" customHeight="1" thickBot="1" x14ac:dyDescent="0.3">
      <c r="B22" s="9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1"/>
    </row>
    <row r="23" spans="2:41" ht="8.25" customHeight="1" x14ac:dyDescent="0.25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</row>
    <row r="24" spans="2:41" ht="16.5" customHeight="1" x14ac:dyDescent="0.2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</row>
    <row r="25" spans="2:41" ht="16.5" customHeight="1" x14ac:dyDescent="0.25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</row>
    <row r="26" spans="2:41" ht="16.5" customHeight="1" x14ac:dyDescent="0.25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</row>
    <row r="27" spans="2:41" x14ac:dyDescent="0.25">
      <c r="C27" s="1" t="s">
        <v>8</v>
      </c>
      <c r="D27" s="2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21"/>
    </row>
    <row r="28" spans="2:41" x14ac:dyDescent="0.25">
      <c r="C28" s="1" t="s">
        <v>9</v>
      </c>
      <c r="D28" s="2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21"/>
    </row>
    <row r="29" spans="2:41" x14ac:dyDescent="0.25">
      <c r="C29" s="1" t="s">
        <v>10</v>
      </c>
      <c r="D29" s="2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21"/>
    </row>
    <row r="30" spans="2:41" x14ac:dyDescent="0.25">
      <c r="C30" s="1" t="s">
        <v>11</v>
      </c>
      <c r="D30" s="2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7"/>
      <c r="AK30" s="67"/>
      <c r="AL30" s="67"/>
      <c r="AM30" s="21"/>
    </row>
    <row r="31" spans="2:41" x14ac:dyDescent="0.25">
      <c r="C31" s="1" t="s">
        <v>0</v>
      </c>
      <c r="D31" s="2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21"/>
    </row>
    <row r="32" spans="2:41" x14ac:dyDescent="0.25">
      <c r="C32" s="1" t="s">
        <v>12</v>
      </c>
      <c r="D32" s="2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21"/>
    </row>
    <row r="33" spans="3:39" x14ac:dyDescent="0.25">
      <c r="C33" s="1" t="s">
        <v>13</v>
      </c>
      <c r="D33" s="2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67"/>
      <c r="AK33" s="67"/>
      <c r="AL33" s="67"/>
      <c r="AM33" s="21"/>
    </row>
    <row r="34" spans="3:39" x14ac:dyDescent="0.25">
      <c r="C34" s="1" t="s">
        <v>14</v>
      </c>
      <c r="D34" s="2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7"/>
      <c r="AD34" s="67"/>
      <c r="AE34" s="67"/>
      <c r="AF34" s="67"/>
      <c r="AG34" s="67"/>
      <c r="AH34" s="67"/>
      <c r="AI34" s="67"/>
      <c r="AJ34" s="67"/>
      <c r="AK34" s="67"/>
      <c r="AL34" s="67"/>
      <c r="AM34" s="21"/>
    </row>
    <row r="35" spans="3:39" x14ac:dyDescent="0.25">
      <c r="C35" s="1" t="s">
        <v>15</v>
      </c>
    </row>
    <row r="36" spans="3:39" x14ac:dyDescent="0.25">
      <c r="C36" s="1" t="s">
        <v>16</v>
      </c>
    </row>
    <row r="37" spans="3:39" x14ac:dyDescent="0.25">
      <c r="C37" s="1" t="s">
        <v>17</v>
      </c>
    </row>
    <row r="38" spans="3:39" x14ac:dyDescent="0.25">
      <c r="C38" s="1" t="s">
        <v>18</v>
      </c>
    </row>
  </sheetData>
  <mergeCells count="56">
    <mergeCell ref="E33:K33"/>
    <mergeCell ref="L33:AL33"/>
    <mergeCell ref="E34:K34"/>
    <mergeCell ref="L34:AL34"/>
    <mergeCell ref="E30:K30"/>
    <mergeCell ref="L30:AL30"/>
    <mergeCell ref="E31:K31"/>
    <mergeCell ref="L31:AL31"/>
    <mergeCell ref="E32:K32"/>
    <mergeCell ref="L32:AL32"/>
    <mergeCell ref="E27:K27"/>
    <mergeCell ref="L27:AL27"/>
    <mergeCell ref="E28:K28"/>
    <mergeCell ref="L28:AL28"/>
    <mergeCell ref="E29:K29"/>
    <mergeCell ref="L29:AL29"/>
    <mergeCell ref="AI7:AI8"/>
    <mergeCell ref="X7:X8"/>
    <mergeCell ref="Y7:Y8"/>
    <mergeCell ref="Z7:Z8"/>
    <mergeCell ref="AA7:AA8"/>
    <mergeCell ref="AB7:AB8"/>
    <mergeCell ref="AC7:AC8"/>
    <mergeCell ref="AD7:AD8"/>
    <mergeCell ref="AE7:AE8"/>
    <mergeCell ref="AF7:AF8"/>
    <mergeCell ref="AG7:AG8"/>
    <mergeCell ref="AH7:AH8"/>
    <mergeCell ref="W7:W8"/>
    <mergeCell ref="L7:L8"/>
    <mergeCell ref="M7:M8"/>
    <mergeCell ref="N7:N8"/>
    <mergeCell ref="O7:O8"/>
    <mergeCell ref="P7:P8"/>
    <mergeCell ref="Q7:Q8"/>
    <mergeCell ref="R7:R8"/>
    <mergeCell ref="S7:S8"/>
    <mergeCell ref="T7:T8"/>
    <mergeCell ref="U7:U8"/>
    <mergeCell ref="V7:V8"/>
    <mergeCell ref="K7:K8"/>
    <mergeCell ref="E3:AI5"/>
    <mergeCell ref="AJ3:AN5"/>
    <mergeCell ref="C6:C8"/>
    <mergeCell ref="D6:D8"/>
    <mergeCell ref="AJ6:AJ8"/>
    <mergeCell ref="AK6:AK8"/>
    <mergeCell ref="AL6:AL8"/>
    <mergeCell ref="AM6:AM8"/>
    <mergeCell ref="AN6:AN8"/>
    <mergeCell ref="E7:E8"/>
    <mergeCell ref="F7:F8"/>
    <mergeCell ref="G7:G8"/>
    <mergeCell ref="H7:H8"/>
    <mergeCell ref="I7:I8"/>
    <mergeCell ref="J7:J8"/>
  </mergeCells>
  <conditionalFormatting sqref="E6:AN21">
    <cfRule type="expression" dxfId="5" priority="22">
      <formula>E$6&lt;&gt;""</formula>
    </cfRule>
  </conditionalFormatting>
  <conditionalFormatting sqref="E6:AN8">
    <cfRule type="notContainsBlanks" dxfId="4" priority="24">
      <formula>LEN(TRIM(E6))&gt;0</formula>
    </cfRule>
  </conditionalFormatting>
  <conditionalFormatting sqref="E6:AI6">
    <cfRule type="timePeriod" dxfId="3" priority="19" timePeriod="today">
      <formula>FLOOR(E6,1)=TODAY()</formula>
    </cfRule>
  </conditionalFormatting>
  <conditionalFormatting sqref="E9:AI21">
    <cfRule type="containsText" dxfId="2" priority="16" operator="containsText" text="H">
      <formula>NOT(ISERROR(SEARCH("H",E9)))</formula>
    </cfRule>
    <cfRule type="containsText" dxfId="1" priority="15" operator="containsText" text="A">
      <formula>NOT(ISERROR(SEARCH("A",E9)))</formula>
    </cfRule>
    <cfRule type="expression" dxfId="0" priority="14">
      <formula>E$7="Sun"</formula>
    </cfRule>
  </conditionalFormatting>
  <dataValidations count="3">
    <dataValidation type="list" allowBlank="1" showInputMessage="1" showErrorMessage="1" sqref="C4">
      <formula1>$C$27:$C$38</formula1>
    </dataValidation>
    <dataValidation type="list" allowBlank="1" showInputMessage="1" showErrorMessage="1" sqref="D4">
      <formula1>"2026,2027,2028"</formula1>
    </dataValidation>
    <dataValidation type="custom" allowBlank="1" showInputMessage="1" showErrorMessage="1" errorTitle="Weekly Off (Sunday)" error="Attendance Entry is Not Allowed..." sqref="E9:AI21">
      <formula1>E$7&lt;&gt;"Sun"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27"/>
  <sheetViews>
    <sheetView showGridLines="0" zoomScale="120" zoomScaleNormal="120" workbookViewId="0">
      <selection activeCell="A4" sqref="A4"/>
    </sheetView>
  </sheetViews>
  <sheetFormatPr defaultRowHeight="15" x14ac:dyDescent="0.25"/>
  <cols>
    <col min="1" max="1" width="8.42578125" bestFit="1" customWidth="1"/>
    <col min="2" max="2" width="13.28515625" bestFit="1" customWidth="1"/>
    <col min="3" max="3" width="11.5703125" bestFit="1" customWidth="1"/>
    <col min="4" max="4" width="6.42578125" bestFit="1" customWidth="1"/>
    <col min="5" max="5" width="5.42578125" style="1" bestFit="1" customWidth="1"/>
    <col min="6" max="6" width="11.28515625" bestFit="1" customWidth="1"/>
    <col min="7" max="7" width="8" style="1" customWidth="1"/>
    <col min="8" max="8" width="12.42578125" customWidth="1"/>
    <col min="9" max="9" width="6.85546875" style="1" customWidth="1"/>
    <col min="10" max="10" width="11.28515625" style="1" bestFit="1" customWidth="1"/>
    <col min="11" max="11" width="6.7109375" customWidth="1"/>
    <col min="12" max="12" width="5.85546875" customWidth="1"/>
    <col min="13" max="13" width="7.140625" style="1" customWidth="1"/>
    <col min="14" max="14" width="9.140625" style="1" bestFit="1" customWidth="1"/>
    <col min="15" max="15" width="6.5703125" bestFit="1" customWidth="1"/>
    <col min="16" max="16" width="8.140625" bestFit="1" customWidth="1"/>
    <col min="17" max="17" width="7.85546875" customWidth="1"/>
    <col min="18" max="18" width="8.140625" bestFit="1" customWidth="1"/>
  </cols>
  <sheetData>
    <row r="1" spans="1:18" ht="15" customHeight="1" x14ac:dyDescent="0.25">
      <c r="A1" s="68" t="str">
        <f>"Fully Automatic Salary Sheet - "&amp;Attendance_Sheet!C4&amp;" "&amp;Attendance_Sheet!D4</f>
        <v>Fully Automatic Salary Sheet - April 2026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0" t="s">
        <v>73</v>
      </c>
      <c r="Q1" s="60"/>
      <c r="R1" s="60"/>
    </row>
    <row r="2" spans="1:18" ht="15" customHeight="1" x14ac:dyDescent="0.25">
      <c r="A2" s="68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0"/>
      <c r="Q2" s="60"/>
      <c r="R2" s="60"/>
    </row>
    <row r="3" spans="1:18" ht="15" customHeight="1" x14ac:dyDescent="0.25">
      <c r="A3" s="68"/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0"/>
      <c r="Q3" s="60"/>
      <c r="R3" s="60"/>
    </row>
    <row r="4" spans="1:18" ht="45" x14ac:dyDescent="0.25">
      <c r="A4" s="24" t="s">
        <v>20</v>
      </c>
      <c r="B4" s="24" t="s">
        <v>51</v>
      </c>
      <c r="C4" s="24" t="s">
        <v>52</v>
      </c>
      <c r="D4" s="24" t="s">
        <v>53</v>
      </c>
      <c r="E4" s="24" t="s">
        <v>41</v>
      </c>
      <c r="F4" s="24" t="s">
        <v>67</v>
      </c>
      <c r="G4" s="24" t="s">
        <v>61</v>
      </c>
      <c r="H4" s="24" t="s">
        <v>71</v>
      </c>
      <c r="I4" s="24" t="s">
        <v>72</v>
      </c>
      <c r="J4" s="24" t="s">
        <v>62</v>
      </c>
      <c r="K4" s="24" t="s">
        <v>54</v>
      </c>
      <c r="L4" s="24" t="s">
        <v>68</v>
      </c>
      <c r="M4" s="24" t="s">
        <v>60</v>
      </c>
      <c r="N4" s="24" t="s">
        <v>69</v>
      </c>
      <c r="O4" s="24" t="s">
        <v>55</v>
      </c>
      <c r="P4" s="24" t="s">
        <v>82</v>
      </c>
      <c r="Q4" s="24" t="s">
        <v>83</v>
      </c>
      <c r="R4" s="24" t="s">
        <v>70</v>
      </c>
    </row>
    <row r="5" spans="1:18" x14ac:dyDescent="0.25">
      <c r="A5" s="25" t="str">
        <f>VLOOKUP(Attendance_Sheet!C9,Attendance_Sheet!C6:D21,1,FALSE)</f>
        <v>EMP001</v>
      </c>
      <c r="B5" s="25" t="str">
        <f>VLOOKUP(A5,Attendance_Sheet!C6:D21,2,FALSE)</f>
        <v>Aman Khan</v>
      </c>
      <c r="C5" s="25" t="s">
        <v>56</v>
      </c>
      <c r="D5" s="25">
        <v>30000</v>
      </c>
      <c r="E5" s="27">
        <f>VLOOKUP(A5,Attendance_Sheet!C6:AN21,34,FALSE)</f>
        <v>30</v>
      </c>
      <c r="F5" s="27">
        <f>SUMPRODUCT(VLOOKUP(A5,Attendance_Sheet!C6:AN21,{35,36,37},FALSE))</f>
        <v>19</v>
      </c>
      <c r="G5" s="26">
        <f>D5/E5</f>
        <v>1000</v>
      </c>
      <c r="H5" s="26">
        <f>F5*G5</f>
        <v>19000</v>
      </c>
      <c r="I5" s="26">
        <f>D5*12%</f>
        <v>3600</v>
      </c>
      <c r="J5" s="25" t="s">
        <v>63</v>
      </c>
      <c r="K5" s="25">
        <f>IF(J5="Metro",D5*50%,D5*40%)</f>
        <v>15000</v>
      </c>
      <c r="L5" s="25">
        <v>1000</v>
      </c>
      <c r="M5" s="27">
        <v>10</v>
      </c>
      <c r="N5" s="26">
        <f>G5/8*M5</f>
        <v>1250</v>
      </c>
      <c r="O5" s="26">
        <f>H5+I5+K5+L5+N5</f>
        <v>39850</v>
      </c>
      <c r="P5" s="26">
        <f>D5*12%</f>
        <v>3600</v>
      </c>
      <c r="Q5" s="29" t="str">
        <f>IF(O5&lt;=21000,O5*0.75%,"N/A")</f>
        <v>N/A</v>
      </c>
      <c r="R5" s="26">
        <f>IF(ISNUMBER(Q5),O5-P5-Q5,O5-P5)</f>
        <v>36250</v>
      </c>
    </row>
    <row r="6" spans="1:18" x14ac:dyDescent="0.25">
      <c r="A6" s="25" t="str">
        <f>VLOOKUP(Attendance_Sheet!C10,Attendance_Sheet!C7:D22,1,FALSE)</f>
        <v>EMP002</v>
      </c>
      <c r="B6" s="25" t="str">
        <f>VLOOKUP(A6,Attendance_Sheet!C7:D22,2,FALSE)</f>
        <v>Neha Sharma</v>
      </c>
      <c r="C6" s="25" t="s">
        <v>57</v>
      </c>
      <c r="D6" s="25">
        <v>25000</v>
      </c>
      <c r="E6" s="27">
        <f>VLOOKUP(A6,Attendance_Sheet!C7:AN22,34,FALSE)</f>
        <v>30</v>
      </c>
      <c r="F6" s="27">
        <f>SUMPRODUCT(VLOOKUP(A6,Attendance_Sheet!C7:AN22,{35,36,37},FALSE))</f>
        <v>17</v>
      </c>
      <c r="G6" s="26">
        <f t="shared" ref="G6:G17" si="0">D6/E6</f>
        <v>833.33333333333337</v>
      </c>
      <c r="H6" s="26">
        <f t="shared" ref="H6:H17" si="1">F6*G6</f>
        <v>14166.666666666668</v>
      </c>
      <c r="I6" s="26">
        <f t="shared" ref="I6:I17" si="2">D6*12%</f>
        <v>3000</v>
      </c>
      <c r="J6" s="25" t="s">
        <v>64</v>
      </c>
      <c r="K6" s="25">
        <f t="shared" ref="K6:K17" si="3">IF(J6="Metro",D6*50%,D6*40%)</f>
        <v>10000</v>
      </c>
      <c r="L6" s="25">
        <v>2000</v>
      </c>
      <c r="M6" s="27">
        <v>15</v>
      </c>
      <c r="N6" s="26">
        <f t="shared" ref="N6:N17" si="4">G6/8*M6</f>
        <v>1562.5</v>
      </c>
      <c r="O6" s="26">
        <f t="shared" ref="O6:O17" si="5">H6+I6+K6+L6+N6</f>
        <v>30729.166666666668</v>
      </c>
      <c r="P6" s="26">
        <f t="shared" ref="P6:P17" si="6">D6*12%</f>
        <v>3000</v>
      </c>
      <c r="Q6" s="29" t="str">
        <f t="shared" ref="Q6:Q17" si="7">IF(O6&lt;=21000,O6*0.75%,"N/A")</f>
        <v>N/A</v>
      </c>
      <c r="R6" s="26">
        <f t="shared" ref="R6:R17" si="8">IF(ISNUMBER(Q6),O6-P6-Q6,O6-P6)</f>
        <v>27729.166666666668</v>
      </c>
    </row>
    <row r="7" spans="1:18" x14ac:dyDescent="0.25">
      <c r="A7" s="25" t="str">
        <f>VLOOKUP(Attendance_Sheet!C11,Attendance_Sheet!C8:D23,1,FALSE)</f>
        <v>EMP003</v>
      </c>
      <c r="B7" s="25" t="str">
        <f>VLOOKUP(A7,Attendance_Sheet!C8:D23,2,FALSE)</f>
        <v>Ali Raza</v>
      </c>
      <c r="C7" s="25" t="s">
        <v>58</v>
      </c>
      <c r="D7" s="25">
        <v>18000</v>
      </c>
      <c r="E7" s="27">
        <f>VLOOKUP(A7,Attendance_Sheet!C8:AN23,34,FALSE)</f>
        <v>30</v>
      </c>
      <c r="F7" s="27">
        <f>SUMPRODUCT(VLOOKUP(A7,Attendance_Sheet!C8:AN23,{35,36,37},FALSE))</f>
        <v>17</v>
      </c>
      <c r="G7" s="26">
        <f t="shared" si="0"/>
        <v>600</v>
      </c>
      <c r="H7" s="26">
        <f t="shared" si="1"/>
        <v>10200</v>
      </c>
      <c r="I7" s="26">
        <f t="shared" si="2"/>
        <v>2160</v>
      </c>
      <c r="J7" s="25" t="s">
        <v>63</v>
      </c>
      <c r="K7" s="25">
        <f t="shared" si="3"/>
        <v>9000</v>
      </c>
      <c r="L7" s="25">
        <v>1000</v>
      </c>
      <c r="M7" s="27">
        <v>20</v>
      </c>
      <c r="N7" s="26">
        <f t="shared" si="4"/>
        <v>1500</v>
      </c>
      <c r="O7" s="26">
        <f t="shared" si="5"/>
        <v>23860</v>
      </c>
      <c r="P7" s="26">
        <f t="shared" si="6"/>
        <v>2160</v>
      </c>
      <c r="Q7" s="29" t="str">
        <f t="shared" si="7"/>
        <v>N/A</v>
      </c>
      <c r="R7" s="26">
        <f t="shared" si="8"/>
        <v>21700</v>
      </c>
    </row>
    <row r="8" spans="1:18" x14ac:dyDescent="0.25">
      <c r="A8" s="25" t="str">
        <f>VLOOKUP(Attendance_Sheet!C12,Attendance_Sheet!C9:D24,1,FALSE)</f>
        <v>EMP004</v>
      </c>
      <c r="B8" s="25" t="str">
        <f>VLOOKUP(A8,Attendance_Sheet!C9:D24,2,FALSE)</f>
        <v>Riya Singh</v>
      </c>
      <c r="C8" s="25" t="s">
        <v>65</v>
      </c>
      <c r="D8" s="25">
        <v>15000</v>
      </c>
      <c r="E8" s="27">
        <f>VLOOKUP(A8,Attendance_Sheet!C9:AN24,34,FALSE)</f>
        <v>30</v>
      </c>
      <c r="F8" s="27">
        <f>SUMPRODUCT(VLOOKUP(A8,Attendance_Sheet!C9:AN24,{35,36,37},FALSE))</f>
        <v>19</v>
      </c>
      <c r="G8" s="26">
        <f t="shared" si="0"/>
        <v>500</v>
      </c>
      <c r="H8" s="26">
        <f t="shared" si="1"/>
        <v>9500</v>
      </c>
      <c r="I8" s="26">
        <f t="shared" si="2"/>
        <v>1800</v>
      </c>
      <c r="J8" s="25" t="s">
        <v>63</v>
      </c>
      <c r="K8" s="25">
        <f t="shared" si="3"/>
        <v>7500</v>
      </c>
      <c r="L8" s="25">
        <v>3000</v>
      </c>
      <c r="M8" s="27">
        <v>25</v>
      </c>
      <c r="N8" s="26">
        <f t="shared" si="4"/>
        <v>1562.5</v>
      </c>
      <c r="O8" s="26">
        <f t="shared" si="5"/>
        <v>23362.5</v>
      </c>
      <c r="P8" s="26">
        <f t="shared" si="6"/>
        <v>1800</v>
      </c>
      <c r="Q8" s="29" t="str">
        <f t="shared" si="7"/>
        <v>N/A</v>
      </c>
      <c r="R8" s="26">
        <f t="shared" si="8"/>
        <v>21562.5</v>
      </c>
    </row>
    <row r="9" spans="1:18" x14ac:dyDescent="0.25">
      <c r="A9" s="25" t="str">
        <f>VLOOKUP(Attendance_Sheet!C13,Attendance_Sheet!C10:D25,1,FALSE)</f>
        <v>EMP005</v>
      </c>
      <c r="B9" s="25" t="str">
        <f>VLOOKUP(A9,Attendance_Sheet!C10:D25,2,FALSE)</f>
        <v>Shah Alam</v>
      </c>
      <c r="C9" s="25" t="s">
        <v>65</v>
      </c>
      <c r="D9" s="25">
        <v>15000</v>
      </c>
      <c r="E9" s="27">
        <f>VLOOKUP(A9,Attendance_Sheet!C10:AN25,34,FALSE)</f>
        <v>30</v>
      </c>
      <c r="F9" s="27">
        <f>SUMPRODUCT(VLOOKUP(A9,Attendance_Sheet!C10:AN25,{35,36,37},FALSE))</f>
        <v>18</v>
      </c>
      <c r="G9" s="26">
        <f t="shared" si="0"/>
        <v>500</v>
      </c>
      <c r="H9" s="26">
        <f t="shared" si="1"/>
        <v>9000</v>
      </c>
      <c r="I9" s="26">
        <f t="shared" si="2"/>
        <v>1800</v>
      </c>
      <c r="J9" s="25" t="s">
        <v>64</v>
      </c>
      <c r="K9" s="25">
        <f t="shared" si="3"/>
        <v>6000</v>
      </c>
      <c r="L9" s="25">
        <v>2000</v>
      </c>
      <c r="M9" s="27">
        <v>20</v>
      </c>
      <c r="N9" s="26">
        <f t="shared" si="4"/>
        <v>1250</v>
      </c>
      <c r="O9" s="26">
        <f t="shared" si="5"/>
        <v>20050</v>
      </c>
      <c r="P9" s="26">
        <f t="shared" si="6"/>
        <v>1800</v>
      </c>
      <c r="Q9" s="29">
        <f t="shared" si="7"/>
        <v>150.375</v>
      </c>
      <c r="R9" s="26">
        <f t="shared" si="8"/>
        <v>18099.625</v>
      </c>
    </row>
    <row r="10" spans="1:18" x14ac:dyDescent="0.25">
      <c r="A10" s="25" t="str">
        <f>VLOOKUP(Attendance_Sheet!C14,Attendance_Sheet!C11:D26,1,FALSE)</f>
        <v>EMP006</v>
      </c>
      <c r="B10" s="25" t="str">
        <f>VLOOKUP(A10,Attendance_Sheet!C11:D26,2,FALSE)</f>
        <v>Karan Gupta</v>
      </c>
      <c r="C10" s="25" t="s">
        <v>65</v>
      </c>
      <c r="D10" s="25">
        <v>15000</v>
      </c>
      <c r="E10" s="27">
        <f>VLOOKUP(A10,Attendance_Sheet!C11:AN26,34,FALSE)</f>
        <v>30</v>
      </c>
      <c r="F10" s="27">
        <f>SUMPRODUCT(VLOOKUP(A10,Attendance_Sheet!C11:AN26,{35,36,37},FALSE))</f>
        <v>18</v>
      </c>
      <c r="G10" s="26">
        <f t="shared" si="0"/>
        <v>500</v>
      </c>
      <c r="H10" s="26">
        <f t="shared" si="1"/>
        <v>9000</v>
      </c>
      <c r="I10" s="26">
        <f t="shared" si="2"/>
        <v>1800</v>
      </c>
      <c r="J10" s="25" t="s">
        <v>64</v>
      </c>
      <c r="K10" s="25">
        <f t="shared" si="3"/>
        <v>6000</v>
      </c>
      <c r="L10" s="25">
        <v>1000</v>
      </c>
      <c r="M10" s="27">
        <v>12</v>
      </c>
      <c r="N10" s="26">
        <f t="shared" si="4"/>
        <v>750</v>
      </c>
      <c r="O10" s="26">
        <f t="shared" si="5"/>
        <v>18550</v>
      </c>
      <c r="P10" s="26">
        <f t="shared" si="6"/>
        <v>1800</v>
      </c>
      <c r="Q10" s="29">
        <f t="shared" si="7"/>
        <v>139.125</v>
      </c>
      <c r="R10" s="26">
        <f t="shared" si="8"/>
        <v>16610.875</v>
      </c>
    </row>
    <row r="11" spans="1:18" x14ac:dyDescent="0.25">
      <c r="A11" s="25" t="str">
        <f>VLOOKUP(Attendance_Sheet!C15,Attendance_Sheet!C12:D27,1,FALSE)</f>
        <v>EMP007</v>
      </c>
      <c r="B11" s="25" t="str">
        <f>VLOOKUP(A11,Attendance_Sheet!C12:D27,2,FALSE)</f>
        <v>Irfan Pathan</v>
      </c>
      <c r="C11" s="25" t="s">
        <v>59</v>
      </c>
      <c r="D11" s="25">
        <v>12000</v>
      </c>
      <c r="E11" s="27">
        <f>VLOOKUP(A11,Attendance_Sheet!C12:AN27,34,FALSE)</f>
        <v>30</v>
      </c>
      <c r="F11" s="27">
        <f>SUMPRODUCT(VLOOKUP(A11,Attendance_Sheet!C12:AN27,{35,36,37},FALSE))</f>
        <v>16</v>
      </c>
      <c r="G11" s="26">
        <f t="shared" si="0"/>
        <v>400</v>
      </c>
      <c r="H11" s="26">
        <f t="shared" si="1"/>
        <v>6400</v>
      </c>
      <c r="I11" s="26">
        <f t="shared" si="2"/>
        <v>1440</v>
      </c>
      <c r="J11" s="25" t="s">
        <v>63</v>
      </c>
      <c r="K11" s="25">
        <f t="shared" si="3"/>
        <v>6000</v>
      </c>
      <c r="L11" s="25">
        <v>3000</v>
      </c>
      <c r="M11" s="27">
        <v>15</v>
      </c>
      <c r="N11" s="26">
        <f t="shared" si="4"/>
        <v>750</v>
      </c>
      <c r="O11" s="26">
        <f t="shared" si="5"/>
        <v>17590</v>
      </c>
      <c r="P11" s="26">
        <f t="shared" si="6"/>
        <v>1440</v>
      </c>
      <c r="Q11" s="29">
        <f t="shared" si="7"/>
        <v>131.92499999999998</v>
      </c>
      <c r="R11" s="26">
        <f t="shared" si="8"/>
        <v>16018.075000000001</v>
      </c>
    </row>
    <row r="12" spans="1:18" x14ac:dyDescent="0.25">
      <c r="A12" s="25" t="str">
        <f>VLOOKUP(Attendance_Sheet!C16,Attendance_Sheet!C13:D28,1,FALSE)</f>
        <v>EMP008</v>
      </c>
      <c r="B12" s="25" t="str">
        <f>VLOOKUP(A12,Attendance_Sheet!C13:D28,2,FALSE)</f>
        <v>Pappi Singh</v>
      </c>
      <c r="C12" s="25" t="s">
        <v>59</v>
      </c>
      <c r="D12" s="25">
        <v>12000</v>
      </c>
      <c r="E12" s="27">
        <f>VLOOKUP(A12,Attendance_Sheet!C13:AN28,34,FALSE)</f>
        <v>30</v>
      </c>
      <c r="F12" s="27">
        <f>SUMPRODUCT(VLOOKUP(A12,Attendance_Sheet!C13:AN28,{35,36,37},FALSE))</f>
        <v>17</v>
      </c>
      <c r="G12" s="26">
        <f t="shared" si="0"/>
        <v>400</v>
      </c>
      <c r="H12" s="26">
        <f t="shared" si="1"/>
        <v>6800</v>
      </c>
      <c r="I12" s="26">
        <f t="shared" si="2"/>
        <v>1440</v>
      </c>
      <c r="J12" s="25" t="s">
        <v>64</v>
      </c>
      <c r="K12" s="25">
        <f t="shared" si="3"/>
        <v>4800</v>
      </c>
      <c r="L12" s="25">
        <v>2000</v>
      </c>
      <c r="M12" s="27">
        <v>25</v>
      </c>
      <c r="N12" s="26">
        <f t="shared" si="4"/>
        <v>1250</v>
      </c>
      <c r="O12" s="26">
        <f t="shared" si="5"/>
        <v>16290</v>
      </c>
      <c r="P12" s="26">
        <f t="shared" si="6"/>
        <v>1440</v>
      </c>
      <c r="Q12" s="29">
        <f t="shared" si="7"/>
        <v>122.175</v>
      </c>
      <c r="R12" s="26">
        <f t="shared" si="8"/>
        <v>14727.825000000001</v>
      </c>
    </row>
    <row r="13" spans="1:18" x14ac:dyDescent="0.25">
      <c r="A13" s="25" t="str">
        <f>VLOOKUP(Attendance_Sheet!C17,Attendance_Sheet!C14:D29,1,FALSE)</f>
        <v>EMP009</v>
      </c>
      <c r="B13" s="25" t="str">
        <f>VLOOKUP(A13,Attendance_Sheet!C14:D29,2,FALSE)</f>
        <v>Raju Roi</v>
      </c>
      <c r="C13" s="25" t="s">
        <v>59</v>
      </c>
      <c r="D13" s="25">
        <v>12000</v>
      </c>
      <c r="E13" s="27">
        <f>VLOOKUP(A13,Attendance_Sheet!C14:AN29,34,FALSE)</f>
        <v>30</v>
      </c>
      <c r="F13" s="27">
        <f>SUMPRODUCT(VLOOKUP(A13,Attendance_Sheet!C14:AN29,{35,36,37},FALSE))</f>
        <v>19</v>
      </c>
      <c r="G13" s="26">
        <f t="shared" si="0"/>
        <v>400</v>
      </c>
      <c r="H13" s="26">
        <f t="shared" si="1"/>
        <v>7600</v>
      </c>
      <c r="I13" s="26">
        <f t="shared" si="2"/>
        <v>1440</v>
      </c>
      <c r="J13" s="25" t="s">
        <v>63</v>
      </c>
      <c r="K13" s="25">
        <f t="shared" si="3"/>
        <v>6000</v>
      </c>
      <c r="L13" s="25">
        <v>1000</v>
      </c>
      <c r="M13" s="27">
        <v>20</v>
      </c>
      <c r="N13" s="26">
        <f t="shared" si="4"/>
        <v>1000</v>
      </c>
      <c r="O13" s="26">
        <f t="shared" si="5"/>
        <v>17040</v>
      </c>
      <c r="P13" s="26">
        <f t="shared" si="6"/>
        <v>1440</v>
      </c>
      <c r="Q13" s="29">
        <f t="shared" si="7"/>
        <v>127.8</v>
      </c>
      <c r="R13" s="26">
        <f t="shared" si="8"/>
        <v>15472.2</v>
      </c>
    </row>
    <row r="14" spans="1:18" x14ac:dyDescent="0.25">
      <c r="A14" s="25" t="str">
        <f>VLOOKUP(Attendance_Sheet!C18,Attendance_Sheet!C15:D30,1,FALSE)</f>
        <v>EMP010</v>
      </c>
      <c r="B14" s="25" t="str">
        <f>VLOOKUP(A14,Attendance_Sheet!C15:D30,2,FALSE)</f>
        <v>Rabia Ansari</v>
      </c>
      <c r="C14" s="25" t="s">
        <v>59</v>
      </c>
      <c r="D14" s="25">
        <v>12000</v>
      </c>
      <c r="E14" s="27">
        <f>VLOOKUP(A14,Attendance_Sheet!C15:AN30,34,FALSE)</f>
        <v>30</v>
      </c>
      <c r="F14" s="27">
        <f>SUMPRODUCT(VLOOKUP(A14,Attendance_Sheet!C15:AN30,{35,36,37},FALSE))</f>
        <v>14</v>
      </c>
      <c r="G14" s="26">
        <f t="shared" si="0"/>
        <v>400</v>
      </c>
      <c r="H14" s="26">
        <f t="shared" si="1"/>
        <v>5600</v>
      </c>
      <c r="I14" s="26">
        <f t="shared" si="2"/>
        <v>1440</v>
      </c>
      <c r="J14" s="25" t="s">
        <v>63</v>
      </c>
      <c r="K14" s="25">
        <f t="shared" si="3"/>
        <v>6000</v>
      </c>
      <c r="L14" s="25">
        <v>1000</v>
      </c>
      <c r="M14" s="27">
        <v>10</v>
      </c>
      <c r="N14" s="26">
        <f t="shared" si="4"/>
        <v>500</v>
      </c>
      <c r="O14" s="26">
        <f t="shared" si="5"/>
        <v>14540</v>
      </c>
      <c r="P14" s="26">
        <f t="shared" si="6"/>
        <v>1440</v>
      </c>
      <c r="Q14" s="29">
        <f t="shared" si="7"/>
        <v>109.05</v>
      </c>
      <c r="R14" s="26">
        <f t="shared" si="8"/>
        <v>12990.95</v>
      </c>
    </row>
    <row r="15" spans="1:18" x14ac:dyDescent="0.25">
      <c r="A15" s="25" t="str">
        <f>VLOOKUP(Attendance_Sheet!C19,Attendance_Sheet!C16:D31,1,FALSE)</f>
        <v>EMP011</v>
      </c>
      <c r="B15" s="25" t="str">
        <f>VLOOKUP(A15,Attendance_Sheet!C16:D31,2,FALSE)</f>
        <v>Ram Kumar</v>
      </c>
      <c r="C15" s="25" t="s">
        <v>66</v>
      </c>
      <c r="D15" s="25">
        <v>10000</v>
      </c>
      <c r="E15" s="27">
        <f>VLOOKUP(A15,Attendance_Sheet!C16:AN31,34,FALSE)</f>
        <v>30</v>
      </c>
      <c r="F15" s="27">
        <f>SUMPRODUCT(VLOOKUP(A15,Attendance_Sheet!C16:AN31,{35,36,37},FALSE))</f>
        <v>21</v>
      </c>
      <c r="G15" s="26">
        <f t="shared" si="0"/>
        <v>333.33333333333331</v>
      </c>
      <c r="H15" s="26">
        <f t="shared" si="1"/>
        <v>7000</v>
      </c>
      <c r="I15" s="26">
        <f t="shared" si="2"/>
        <v>1200</v>
      </c>
      <c r="J15" s="25" t="s">
        <v>63</v>
      </c>
      <c r="K15" s="25">
        <f t="shared" si="3"/>
        <v>5000</v>
      </c>
      <c r="L15" s="25">
        <v>2000</v>
      </c>
      <c r="M15" s="27">
        <v>22</v>
      </c>
      <c r="N15" s="26">
        <f t="shared" si="4"/>
        <v>916.66666666666663</v>
      </c>
      <c r="O15" s="26">
        <f t="shared" si="5"/>
        <v>16116.666666666666</v>
      </c>
      <c r="P15" s="26">
        <f t="shared" si="6"/>
        <v>1200</v>
      </c>
      <c r="Q15" s="29">
        <f t="shared" si="7"/>
        <v>120.87499999999999</v>
      </c>
      <c r="R15" s="26">
        <f t="shared" si="8"/>
        <v>14795.791666666666</v>
      </c>
    </row>
    <row r="16" spans="1:18" x14ac:dyDescent="0.25">
      <c r="A16" s="25" t="str">
        <f>VLOOKUP(Attendance_Sheet!C20,Attendance_Sheet!C17:D32,1,FALSE)</f>
        <v>EMP012</v>
      </c>
      <c r="B16" s="25" t="str">
        <f>VLOOKUP(A16,Attendance_Sheet!C17:D32,2,FALSE)</f>
        <v>Raja Babu</v>
      </c>
      <c r="C16" s="25" t="s">
        <v>66</v>
      </c>
      <c r="D16" s="25">
        <v>10000</v>
      </c>
      <c r="E16" s="27">
        <f>VLOOKUP(A16,Attendance_Sheet!C17:AN32,34,FALSE)</f>
        <v>30</v>
      </c>
      <c r="F16" s="27">
        <f>SUMPRODUCT(VLOOKUP(A16,Attendance_Sheet!C17:AN32,{35,36,37},FALSE))</f>
        <v>17</v>
      </c>
      <c r="G16" s="26">
        <f t="shared" si="0"/>
        <v>333.33333333333331</v>
      </c>
      <c r="H16" s="26">
        <f t="shared" si="1"/>
        <v>5666.6666666666661</v>
      </c>
      <c r="I16" s="26">
        <f t="shared" si="2"/>
        <v>1200</v>
      </c>
      <c r="J16" s="25" t="s">
        <v>64</v>
      </c>
      <c r="K16" s="25">
        <f t="shared" si="3"/>
        <v>4000</v>
      </c>
      <c r="L16" s="25">
        <v>2000</v>
      </c>
      <c r="M16" s="27">
        <v>23</v>
      </c>
      <c r="N16" s="26">
        <f t="shared" si="4"/>
        <v>958.33333333333326</v>
      </c>
      <c r="O16" s="26">
        <f t="shared" si="5"/>
        <v>13825</v>
      </c>
      <c r="P16" s="26">
        <f t="shared" si="6"/>
        <v>1200</v>
      </c>
      <c r="Q16" s="29">
        <f t="shared" si="7"/>
        <v>103.6875</v>
      </c>
      <c r="R16" s="26">
        <f t="shared" si="8"/>
        <v>12521.3125</v>
      </c>
    </row>
    <row r="17" spans="1:18" x14ac:dyDescent="0.25">
      <c r="A17" s="25" t="str">
        <f>VLOOKUP(Attendance_Sheet!C21,Attendance_Sheet!C18:D33,1,FALSE)</f>
        <v>EMP013</v>
      </c>
      <c r="B17" s="25" t="str">
        <f>VLOOKUP(A17,Attendance_Sheet!C18:D33,2,FALSE)</f>
        <v>Fiza Khan</v>
      </c>
      <c r="C17" s="25" t="s">
        <v>66</v>
      </c>
      <c r="D17" s="25">
        <v>10000</v>
      </c>
      <c r="E17" s="27">
        <f>VLOOKUP(A17,Attendance_Sheet!C18:AN33,34,FALSE)</f>
        <v>30</v>
      </c>
      <c r="F17" s="27">
        <f>SUMPRODUCT(VLOOKUP(A17,Attendance_Sheet!C18:AN33,{35,36,37},FALSE))</f>
        <v>19</v>
      </c>
      <c r="G17" s="26">
        <f t="shared" si="0"/>
        <v>333.33333333333331</v>
      </c>
      <c r="H17" s="26">
        <f t="shared" si="1"/>
        <v>6333.333333333333</v>
      </c>
      <c r="I17" s="26">
        <f t="shared" si="2"/>
        <v>1200</v>
      </c>
      <c r="J17" s="25" t="s">
        <v>63</v>
      </c>
      <c r="K17" s="25">
        <f t="shared" si="3"/>
        <v>5000</v>
      </c>
      <c r="L17" s="25">
        <v>3000</v>
      </c>
      <c r="M17" s="27">
        <v>15</v>
      </c>
      <c r="N17" s="26">
        <f t="shared" si="4"/>
        <v>625</v>
      </c>
      <c r="O17" s="26">
        <f t="shared" si="5"/>
        <v>16158.333333333332</v>
      </c>
      <c r="P17" s="26">
        <f t="shared" si="6"/>
        <v>1200</v>
      </c>
      <c r="Q17" s="29">
        <f t="shared" si="7"/>
        <v>121.18749999999999</v>
      </c>
      <c r="R17" s="26">
        <f t="shared" si="8"/>
        <v>14837.145833333332</v>
      </c>
    </row>
    <row r="18" spans="1:18" x14ac:dyDescent="0.25">
      <c r="A18" s="1"/>
    </row>
    <row r="19" spans="1:18" x14ac:dyDescent="0.25">
      <c r="A19" s="1"/>
    </row>
    <row r="22" spans="1:18" x14ac:dyDescent="0.25">
      <c r="I22" s="28"/>
    </row>
    <row r="23" spans="1:18" x14ac:dyDescent="0.25">
      <c r="K23" s="28"/>
    </row>
    <row r="27" spans="1:18" x14ac:dyDescent="0.25">
      <c r="K27" s="22"/>
      <c r="Q27" s="23"/>
    </row>
  </sheetData>
  <mergeCells count="2">
    <mergeCell ref="P1:R3"/>
    <mergeCell ref="A1:O3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9"/>
  <sheetViews>
    <sheetView showGridLines="0" tabSelected="1" zoomScaleNormal="100" workbookViewId="0">
      <selection activeCell="D8" sqref="D8"/>
    </sheetView>
  </sheetViews>
  <sheetFormatPr defaultRowHeight="15" x14ac:dyDescent="0.25"/>
  <cols>
    <col min="1" max="1" width="2.7109375" style="1" customWidth="1"/>
    <col min="2" max="2" width="2" customWidth="1"/>
    <col min="3" max="3" width="30.5703125" customWidth="1"/>
    <col min="4" max="4" width="15.7109375" customWidth="1"/>
    <col min="5" max="5" width="28.28515625" customWidth="1"/>
    <col min="6" max="6" width="16.28515625" customWidth="1"/>
    <col min="7" max="7" width="2.42578125" customWidth="1"/>
    <col min="8" max="12" width="9.28515625" customWidth="1"/>
  </cols>
  <sheetData>
    <row r="1" spans="2:22" s="1" customFormat="1" ht="12.75" customHeight="1" thickBot="1" x14ac:dyDescent="0.3"/>
    <row r="2" spans="2:22" ht="25.5" customHeight="1" x14ac:dyDescent="0.25">
      <c r="B2" s="70" t="s">
        <v>85</v>
      </c>
      <c r="C2" s="71"/>
      <c r="D2" s="71"/>
      <c r="E2" s="71"/>
      <c r="F2" s="71"/>
      <c r="G2" s="72"/>
    </row>
    <row r="3" spans="2:22" s="1" customFormat="1" ht="19.5" customHeight="1" x14ac:dyDescent="0.25">
      <c r="B3" s="53"/>
      <c r="C3" s="82" t="s">
        <v>87</v>
      </c>
      <c r="D3" s="83"/>
      <c r="E3" s="83"/>
      <c r="F3" s="84"/>
      <c r="G3" s="54"/>
    </row>
    <row r="4" spans="2:22" ht="18.75" x14ac:dyDescent="0.25">
      <c r="B4" s="36"/>
      <c r="C4" s="76" t="s">
        <v>84</v>
      </c>
      <c r="D4" s="77"/>
      <c r="E4" s="77"/>
      <c r="F4" s="78"/>
      <c r="G4" s="37"/>
    </row>
    <row r="5" spans="2:22" ht="18.75" x14ac:dyDescent="0.25">
      <c r="B5" s="36"/>
      <c r="C5" s="79" t="str">
        <f>"Salary Slip For The Month Of - "&amp;Attendance_Sheet!C4&amp;" "&amp;Attendance_Sheet!D4</f>
        <v>Salary Slip For The Month Of - April 2026</v>
      </c>
      <c r="D5" s="80"/>
      <c r="E5" s="80"/>
      <c r="F5" s="81"/>
      <c r="G5" s="37"/>
    </row>
    <row r="6" spans="2:22" ht="9" customHeight="1" x14ac:dyDescent="0.25">
      <c r="B6" s="36"/>
      <c r="C6" s="35"/>
      <c r="D6" s="35"/>
      <c r="E6" s="35"/>
      <c r="F6" s="35"/>
      <c r="G6" s="37"/>
    </row>
    <row r="7" spans="2:22" s="1" customFormat="1" ht="18" customHeight="1" x14ac:dyDescent="0.25">
      <c r="B7" s="36"/>
      <c r="C7" s="73" t="s">
        <v>78</v>
      </c>
      <c r="D7" s="73"/>
      <c r="E7" s="73" t="s">
        <v>79</v>
      </c>
      <c r="F7" s="73"/>
      <c r="G7" s="37"/>
    </row>
    <row r="8" spans="2:22" ht="15.75" x14ac:dyDescent="0.25">
      <c r="B8" s="36"/>
      <c r="C8" s="31" t="s">
        <v>20</v>
      </c>
      <c r="D8" s="42" t="s">
        <v>31</v>
      </c>
      <c r="E8" s="31" t="s">
        <v>41</v>
      </c>
      <c r="F8" s="50">
        <f>VLOOKUP($D$8,Salary_Sheet!$A$4:$R$17,MATCH(E8,Salary_Sheet!$A$4:$R$4,0),FALSE)</f>
        <v>30</v>
      </c>
      <c r="G8" s="37"/>
    </row>
    <row r="9" spans="2:22" ht="15.75" x14ac:dyDescent="0.25">
      <c r="B9" s="36"/>
      <c r="C9" s="31" t="s">
        <v>19</v>
      </c>
      <c r="D9" s="42" t="str">
        <f>VLOOKUP($D$8,Salary_Sheet!$A$4:$R$17,MATCH(C9,Salary_Sheet!$A$4:$R$4,0),FALSE)</f>
        <v>Aman Khan</v>
      </c>
      <c r="E9" s="31" t="s">
        <v>67</v>
      </c>
      <c r="F9" s="50">
        <f>VLOOKUP($D$8,Salary_Sheet!$A$4:$R$17,MATCH(E9,Salary_Sheet!$A$4:$R$4,0),FALSE)</f>
        <v>19</v>
      </c>
      <c r="G9" s="37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2:22" s="1" customFormat="1" ht="15.75" x14ac:dyDescent="0.25">
      <c r="B10" s="36"/>
      <c r="C10" s="34" t="s">
        <v>52</v>
      </c>
      <c r="D10" s="43" t="str">
        <f>VLOOKUP($D$8,Salary_Sheet!$A$4:$R$17,3,FALSE)</f>
        <v>Manager</v>
      </c>
      <c r="E10" s="34" t="s">
        <v>80</v>
      </c>
      <c r="F10" s="51">
        <f ca="1">TODAY()</f>
        <v>46166</v>
      </c>
      <c r="G10" s="37"/>
    </row>
    <row r="11" spans="2:22" s="1" customFormat="1" ht="9" customHeight="1" x14ac:dyDescent="0.25">
      <c r="B11" s="36"/>
      <c r="C11" s="33"/>
      <c r="D11" s="33"/>
      <c r="E11" s="33"/>
      <c r="F11" s="56"/>
      <c r="G11" s="37"/>
    </row>
    <row r="12" spans="2:22" s="1" customFormat="1" ht="18" customHeight="1" x14ac:dyDescent="0.25">
      <c r="B12" s="36"/>
      <c r="C12" s="85" t="s">
        <v>53</v>
      </c>
      <c r="D12" s="85"/>
      <c r="E12" s="86">
        <f>VLOOKUP($D$8,Salary_Sheet!$A$4:$R$17,MATCH(C12,Salary_Sheet!$A$4:$R$4,0),FALSE)</f>
        <v>30000</v>
      </c>
      <c r="F12" s="87"/>
      <c r="G12" s="37"/>
    </row>
    <row r="13" spans="2:22" s="1" customFormat="1" ht="9" customHeight="1" x14ac:dyDescent="0.25">
      <c r="B13" s="36"/>
      <c r="C13" s="32"/>
      <c r="D13" s="32"/>
      <c r="E13" s="32"/>
      <c r="F13" s="32"/>
      <c r="G13" s="37"/>
    </row>
    <row r="14" spans="2:22" ht="18" customHeight="1" x14ac:dyDescent="0.25">
      <c r="B14" s="36"/>
      <c r="C14" s="73" t="s">
        <v>77</v>
      </c>
      <c r="D14" s="73"/>
      <c r="E14" s="73" t="s">
        <v>81</v>
      </c>
      <c r="F14" s="73"/>
      <c r="G14" s="37"/>
    </row>
    <row r="15" spans="2:22" ht="15.75" x14ac:dyDescent="0.25">
      <c r="B15" s="36"/>
      <c r="C15" s="31" t="s">
        <v>71</v>
      </c>
      <c r="D15" s="52">
        <f>VLOOKUP($D$8,Salary_Sheet!$A$4:$R$17,MATCH(C15,Salary_Sheet!$A$4:$R$4,0),FALSE)</f>
        <v>19000</v>
      </c>
      <c r="E15" s="31" t="s">
        <v>82</v>
      </c>
      <c r="F15" s="45">
        <f>VLOOKUP($D$8,Salary_Sheet!$A$4:$R$17,MATCH(E15,Salary_Sheet!$A$4:$R$4,0),FALSE)</f>
        <v>3600</v>
      </c>
      <c r="G15" s="37"/>
      <c r="K15" s="1"/>
    </row>
    <row r="16" spans="2:22" ht="15.75" x14ac:dyDescent="0.25">
      <c r="B16" s="36"/>
      <c r="C16" s="31" t="s">
        <v>72</v>
      </c>
      <c r="D16" s="44">
        <f>VLOOKUP($D$8,Salary_Sheet!$A$4:$R$17,MATCH(C16,Salary_Sheet!$A$4:$R$4,0),FALSE)</f>
        <v>3600</v>
      </c>
      <c r="E16" s="31" t="s">
        <v>83</v>
      </c>
      <c r="F16" s="45" t="str">
        <f>VLOOKUP($D$8,Salary_Sheet!$A$4:$R$17,MATCH(E16,Salary_Sheet!$A$4:$R$4,0),FALSE)</f>
        <v>N/A</v>
      </c>
      <c r="G16" s="37"/>
    </row>
    <row r="17" spans="2:7" ht="15.75" x14ac:dyDescent="0.25">
      <c r="B17" s="36"/>
      <c r="C17" s="31" t="s">
        <v>54</v>
      </c>
      <c r="D17" s="44">
        <f>VLOOKUP($D$8,Salary_Sheet!$A$4:$R$17,MATCH(C17,Salary_Sheet!$A$4:$R$4,0),FALSE)</f>
        <v>15000</v>
      </c>
      <c r="E17" s="31" t="s">
        <v>74</v>
      </c>
      <c r="F17" s="49">
        <f>IFERROR(VLOOKUP($D$8,Salary_Sheet!$A$4:$R$17,MATCH(E17,Salary_Sheet!$A$4:$R$4,0),FALSE),0)</f>
        <v>0</v>
      </c>
      <c r="G17" s="37"/>
    </row>
    <row r="18" spans="2:7" ht="15.75" x14ac:dyDescent="0.25">
      <c r="B18" s="36"/>
      <c r="C18" s="31" t="s">
        <v>68</v>
      </c>
      <c r="D18" s="44">
        <f>VLOOKUP($D$8,Salary_Sheet!$A$4:$R$17,MATCH(C18,Salary_Sheet!$A$4:$R$4,0),FALSE)</f>
        <v>1000</v>
      </c>
      <c r="E18" s="31" t="s">
        <v>75</v>
      </c>
      <c r="F18" s="49">
        <f>IFERROR(VLOOKUP($D$8,Salary_Sheet!$A$4:$R$17,MATCH(E18,Salary_Sheet!$A$4:$R$4,0),FALSE),0)</f>
        <v>0</v>
      </c>
      <c r="G18" s="37"/>
    </row>
    <row r="19" spans="2:7" ht="15.75" x14ac:dyDescent="0.25">
      <c r="B19" s="36"/>
      <c r="C19" s="31" t="s">
        <v>69</v>
      </c>
      <c r="D19" s="44">
        <f>VLOOKUP($D$8,Salary_Sheet!$A$4:$R$17,MATCH(C19,Salary_Sheet!$A$4:$R$4,0),FALSE)</f>
        <v>1250</v>
      </c>
      <c r="E19" s="55"/>
      <c r="F19" s="46"/>
      <c r="G19" s="37"/>
    </row>
    <row r="20" spans="2:7" ht="15.75" x14ac:dyDescent="0.25">
      <c r="B20" s="36"/>
      <c r="C20" s="34" t="s">
        <v>55</v>
      </c>
      <c r="D20" s="47">
        <f>SUM(D15:D19)</f>
        <v>39850</v>
      </c>
      <c r="E20" s="34" t="s">
        <v>76</v>
      </c>
      <c r="F20" s="48">
        <f>SUM(F15:F18)</f>
        <v>3600</v>
      </c>
      <c r="G20" s="37"/>
    </row>
    <row r="21" spans="2:7" ht="9" customHeight="1" x14ac:dyDescent="0.25">
      <c r="B21" s="36"/>
      <c r="C21" s="32"/>
      <c r="D21" s="32"/>
      <c r="E21" s="32"/>
      <c r="F21" s="32"/>
      <c r="G21" s="37"/>
    </row>
    <row r="22" spans="2:7" s="1" customFormat="1" ht="26.25" x14ac:dyDescent="0.25">
      <c r="B22" s="36"/>
      <c r="C22" s="74" t="s">
        <v>70</v>
      </c>
      <c r="D22" s="74"/>
      <c r="E22" s="75">
        <f>D20-F20</f>
        <v>36250</v>
      </c>
      <c r="F22" s="75"/>
      <c r="G22" s="37"/>
    </row>
    <row r="23" spans="2:7" s="1" customFormat="1" ht="15.75" x14ac:dyDescent="0.25">
      <c r="B23" s="36"/>
      <c r="C23" s="32"/>
      <c r="D23" s="32"/>
      <c r="E23" s="32"/>
      <c r="F23" s="32"/>
      <c r="G23" s="37"/>
    </row>
    <row r="24" spans="2:7" ht="18.75" x14ac:dyDescent="0.25">
      <c r="B24" s="36"/>
      <c r="C24" s="57" t="s">
        <v>88</v>
      </c>
      <c r="D24" s="41"/>
      <c r="E24" s="57" t="s">
        <v>89</v>
      </c>
      <c r="F24" s="41"/>
      <c r="G24" s="37"/>
    </row>
    <row r="25" spans="2:7" s="1" customFormat="1" ht="6.75" customHeight="1" x14ac:dyDescent="0.25">
      <c r="B25" s="36"/>
      <c r="C25" s="41"/>
      <c r="D25" s="32"/>
      <c r="E25" s="3"/>
      <c r="F25" s="41"/>
      <c r="G25" s="37"/>
    </row>
    <row r="26" spans="2:7" s="1" customFormat="1" ht="18.75" x14ac:dyDescent="0.25">
      <c r="B26" s="36"/>
      <c r="C26" s="69" t="s">
        <v>86</v>
      </c>
      <c r="D26" s="69"/>
      <c r="E26" s="69"/>
      <c r="F26" s="69"/>
      <c r="G26" s="37"/>
    </row>
    <row r="27" spans="2:7" ht="11.25" customHeight="1" thickBot="1" x14ac:dyDescent="0.3">
      <c r="B27" s="38"/>
      <c r="C27" s="39"/>
      <c r="D27" s="39"/>
      <c r="E27" s="39"/>
      <c r="F27" s="39"/>
      <c r="G27" s="40"/>
    </row>
    <row r="28" spans="2:7" x14ac:dyDescent="0.25">
      <c r="B28" s="30"/>
      <c r="C28" s="30"/>
      <c r="D28" s="30"/>
      <c r="E28" s="30"/>
      <c r="F28" s="30"/>
      <c r="G28" s="30"/>
    </row>
    <row r="29" spans="2:7" x14ac:dyDescent="0.25">
      <c r="B29" s="30"/>
      <c r="C29" s="30"/>
      <c r="D29" s="30"/>
      <c r="E29" s="30"/>
      <c r="F29" s="30"/>
      <c r="G29" s="30"/>
    </row>
  </sheetData>
  <mergeCells count="13">
    <mergeCell ref="C26:F26"/>
    <mergeCell ref="B2:G2"/>
    <mergeCell ref="C7:D7"/>
    <mergeCell ref="E7:F7"/>
    <mergeCell ref="C22:D22"/>
    <mergeCell ref="E22:F22"/>
    <mergeCell ref="C4:F4"/>
    <mergeCell ref="C5:F5"/>
    <mergeCell ref="C14:D14"/>
    <mergeCell ref="E14:F14"/>
    <mergeCell ref="C3:F3"/>
    <mergeCell ref="C12:D12"/>
    <mergeCell ref="E12:F12"/>
  </mergeCells>
  <pageMargins left="0.43" right="0.53" top="0.38" bottom="0.28999999999999998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Salary_Sheet!$A$5:$A$17</xm:f>
          </x14:formula1>
          <xm:sqref>D8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Attendance_Sheet</vt:lpstr>
      <vt:lpstr>Salary_Sheet</vt:lpstr>
      <vt:lpstr>Salary_Slip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2026-05-24T10:51:14Z</dcterms:modified>
</cp:coreProperties>
</file>